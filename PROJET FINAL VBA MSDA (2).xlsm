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000001_{0924289D-AE5B-094A-B93F-8E209ED88DD4}" xr6:coauthVersionLast="45" xr6:coauthVersionMax="45" xr10:uidLastSave="{00000000-0000-0000-0000-000000000000}"/>
  <bookViews>
    <workbookView xWindow="0" yWindow="0" windowWidth="20490" windowHeight="7155" xr2:uid="{00000000-000D-0000-FFFF-FFFF00000000}"/>
  </bookViews>
  <sheets>
    <sheet name="INTERFACE" sheetId="29" r:id="rId1"/>
    <sheet name="TABLEAU DE BORD" sheetId="30" r:id="rId2"/>
    <sheet name="EMPLOYES" sheetId="1" state="hidden" r:id="rId3"/>
    <sheet name="Feuil9" sheetId="24" state="hidden" r:id="rId4"/>
    <sheet name="bulletin de paie" sheetId="8" state="hidden" r:id="rId5"/>
    <sheet name="BASE_DONNEES" sheetId="28" r:id="rId6"/>
    <sheet name="CALCUL  DE L'IR" sheetId="13" state="hidden" r:id="rId7"/>
    <sheet name="CATEGORIES" sheetId="20" state="hidden" r:id="rId8"/>
    <sheet name="LIVRE_PAIE" sheetId="16" r:id="rId9"/>
    <sheet name="journal" sheetId="12" r:id="rId10"/>
    <sheet name="Regime" sheetId="7" state="hidden" r:id="rId11"/>
    <sheet name="Sexe" sheetId="3" state="hidden" r:id="rId12"/>
    <sheet name="Etat_Civil" sheetId="4" state="hidden" r:id="rId13"/>
    <sheet name="categorie" sheetId="2" state="hidden" r:id="rId14"/>
  </sheets>
  <calcPr calcId="191028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" i="28" l="1"/>
  <c r="R2" i="28"/>
  <c r="S2" i="28"/>
  <c r="V2" i="28"/>
  <c r="Q3" i="28"/>
  <c r="R3" i="28"/>
  <c r="S3" i="28"/>
  <c r="V3" i="28"/>
  <c r="Q4" i="28"/>
  <c r="R4" i="28"/>
  <c r="S4" i="28"/>
  <c r="V4" i="28"/>
  <c r="Q5" i="28"/>
  <c r="R5" i="28"/>
  <c r="S5" i="28"/>
  <c r="V5" i="28"/>
  <c r="Q6" i="28"/>
  <c r="R6" i="28"/>
  <c r="S6" i="28"/>
  <c r="V6" i="28"/>
  <c r="Q7" i="28"/>
  <c r="R7" i="28"/>
  <c r="S7" i="28"/>
  <c r="V7" i="28"/>
  <c r="Q8" i="28"/>
  <c r="R8" i="28"/>
  <c r="S8" i="28"/>
  <c r="V8" i="28"/>
  <c r="Q9" i="28"/>
  <c r="R9" i="28"/>
  <c r="S9" i="28"/>
  <c r="V9" i="28"/>
  <c r="Q10" i="28"/>
  <c r="R10" i="28"/>
  <c r="S10" i="28"/>
  <c r="V10" i="28"/>
  <c r="Q11" i="28"/>
  <c r="R11" i="28"/>
  <c r="S11" i="28"/>
  <c r="V11" i="28"/>
  <c r="Q12" i="28"/>
  <c r="R12" i="28"/>
  <c r="S12" i="28"/>
  <c r="V12" i="28"/>
  <c r="Q13" i="28"/>
  <c r="R13" i="28"/>
  <c r="S13" i="28"/>
  <c r="V13" i="28"/>
  <c r="R14" i="28"/>
  <c r="Q14" i="28"/>
  <c r="S14" i="28"/>
  <c r="V14" i="28"/>
  <c r="Q15" i="28"/>
  <c r="R15" i="28"/>
  <c r="S15" i="28"/>
  <c r="V15" i="28"/>
  <c r="Q16" i="28"/>
  <c r="R16" i="28"/>
  <c r="S16" i="28"/>
  <c r="V16" i="28"/>
  <c r="Q17" i="28"/>
  <c r="R17" i="28"/>
  <c r="S17" i="28"/>
  <c r="V17" i="28"/>
  <c r="Q18" i="28"/>
  <c r="R18" i="28"/>
  <c r="S18" i="28"/>
  <c r="V18" i="28"/>
  <c r="Q19" i="28"/>
  <c r="R19" i="28"/>
  <c r="S19" i="28"/>
  <c r="V19" i="28"/>
  <c r="Q20" i="28"/>
  <c r="R20" i="28"/>
  <c r="S20" i="28"/>
  <c r="V20" i="28"/>
  <c r="Q21" i="28"/>
  <c r="R21" i="28"/>
  <c r="S21" i="28"/>
  <c r="V21" i="28"/>
  <c r="Q22" i="28"/>
  <c r="R22" i="28"/>
  <c r="S22" i="28"/>
  <c r="V22" i="28"/>
  <c r="Q23" i="28"/>
  <c r="R23" i="28"/>
  <c r="S23" i="28"/>
  <c r="V23" i="28"/>
  <c r="Q24" i="28"/>
  <c r="R24" i="28"/>
  <c r="S24" i="28"/>
  <c r="V24" i="28"/>
  <c r="Q25" i="28"/>
  <c r="R25" i="28"/>
  <c r="S25" i="28"/>
  <c r="V25" i="28"/>
  <c r="Q26" i="28"/>
  <c r="R26" i="28"/>
  <c r="S26" i="28"/>
  <c r="V26" i="28"/>
  <c r="Q27" i="28"/>
  <c r="R27" i="28"/>
  <c r="S27" i="28"/>
  <c r="V27" i="28"/>
  <c r="Q28" i="28"/>
  <c r="R28" i="28"/>
  <c r="S28" i="28"/>
  <c r="V28" i="28"/>
  <c r="Q29" i="28"/>
  <c r="R29" i="28"/>
  <c r="S29" i="28"/>
  <c r="V29" i="28"/>
  <c r="Q30" i="28"/>
  <c r="R30" i="28"/>
  <c r="S30" i="28"/>
  <c r="V30" i="28"/>
  <c r="Q31" i="28"/>
  <c r="R31" i="28"/>
  <c r="S31" i="28"/>
  <c r="V31" i="28"/>
  <c r="Q32" i="28"/>
  <c r="R32" i="28"/>
  <c r="S32" i="28"/>
  <c r="V32" i="28"/>
  <c r="Q33" i="28"/>
  <c r="R33" i="28"/>
  <c r="S33" i="28"/>
  <c r="V33" i="28"/>
  <c r="Q34" i="28"/>
  <c r="R34" i="28"/>
  <c r="S34" i="28"/>
  <c r="V34" i="28"/>
  <c r="Q35" i="28"/>
  <c r="R35" i="28"/>
  <c r="S35" i="28"/>
  <c r="V35" i="28"/>
  <c r="Q36" i="28"/>
  <c r="R36" i="28"/>
  <c r="S36" i="28"/>
  <c r="V36" i="28"/>
  <c r="Q37" i="28"/>
  <c r="R37" i="28"/>
  <c r="S37" i="28"/>
  <c r="V37" i="28"/>
  <c r="Q38" i="28"/>
  <c r="R38" i="28"/>
  <c r="S38" i="28"/>
  <c r="V38" i="28"/>
  <c r="Q39" i="28"/>
  <c r="R39" i="28"/>
  <c r="S39" i="28"/>
  <c r="V39" i="28"/>
  <c r="Q40" i="28"/>
  <c r="R40" i="28"/>
  <c r="S40" i="28"/>
  <c r="V40" i="28"/>
  <c r="Q41" i="28"/>
  <c r="R41" i="28"/>
  <c r="S41" i="28"/>
  <c r="V41" i="28"/>
  <c r="Q42" i="28"/>
  <c r="R42" i="28"/>
  <c r="S42" i="28"/>
  <c r="V42" i="28"/>
  <c r="Q43" i="28"/>
  <c r="R43" i="28"/>
  <c r="S43" i="28"/>
  <c r="V43" i="28"/>
  <c r="Q44" i="28"/>
  <c r="R44" i="28"/>
  <c r="S44" i="28"/>
  <c r="V44" i="28"/>
  <c r="Q45" i="28"/>
  <c r="R45" i="28"/>
  <c r="S45" i="28"/>
  <c r="V45" i="28"/>
  <c r="Q46" i="28"/>
  <c r="R46" i="28"/>
  <c r="S46" i="28"/>
  <c r="V46" i="28"/>
  <c r="Q47" i="28"/>
  <c r="R47" i="28"/>
  <c r="S47" i="28"/>
  <c r="V47" i="28"/>
  <c r="Q48" i="28"/>
  <c r="R48" i="28"/>
  <c r="S48" i="28"/>
  <c r="V48" i="28"/>
  <c r="Q49" i="28"/>
  <c r="R49" i="28"/>
  <c r="S49" i="28"/>
  <c r="V49" i="28"/>
  <c r="Q50" i="28"/>
  <c r="R50" i="28"/>
  <c r="S50" i="28"/>
  <c r="V50" i="28"/>
  <c r="Q51" i="28"/>
  <c r="R51" i="28"/>
  <c r="S51" i="28"/>
  <c r="V51" i="28"/>
  <c r="S3" i="30"/>
  <c r="S2" i="30"/>
  <c r="N3" i="30"/>
  <c r="N2" i="30"/>
  <c r="H4" i="30"/>
  <c r="H3" i="30"/>
  <c r="H2" i="30"/>
  <c r="B3" i="30"/>
  <c r="B2" i="30"/>
  <c r="D2" i="8"/>
  <c r="F51" i="28"/>
  <c r="F50" i="28"/>
  <c r="F49" i="28"/>
  <c r="F48" i="28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B5" i="8"/>
  <c r="B3" i="24"/>
  <c r="I3" i="24"/>
  <c r="J3" i="24"/>
  <c r="L3" i="24"/>
  <c r="N3" i="24"/>
  <c r="B4" i="24"/>
  <c r="I4" i="24"/>
  <c r="J4" i="24"/>
  <c r="L4" i="24"/>
  <c r="N4" i="24"/>
  <c r="B5" i="24"/>
  <c r="I5" i="24"/>
  <c r="J5" i="24"/>
  <c r="L5" i="24"/>
  <c r="N5" i="24"/>
  <c r="B6" i="24"/>
  <c r="I6" i="24"/>
  <c r="J6" i="24"/>
  <c r="L6" i="24"/>
  <c r="N6" i="24"/>
  <c r="B7" i="24"/>
  <c r="I7" i="24"/>
  <c r="J7" i="24"/>
  <c r="L7" i="24"/>
  <c r="N7" i="24"/>
  <c r="B8" i="24"/>
  <c r="I8" i="24"/>
  <c r="J8" i="24"/>
  <c r="L8" i="24"/>
  <c r="N8" i="24"/>
  <c r="B9" i="24"/>
  <c r="I9" i="24"/>
  <c r="J9" i="24"/>
  <c r="L9" i="24"/>
  <c r="N9" i="24"/>
  <c r="B10" i="24"/>
  <c r="I10" i="24"/>
  <c r="J10" i="24"/>
  <c r="L10" i="24"/>
  <c r="N10" i="24"/>
  <c r="B11" i="24"/>
  <c r="I11" i="24"/>
  <c r="J11" i="24"/>
  <c r="L11" i="24"/>
  <c r="N11" i="24"/>
  <c r="B12" i="24"/>
  <c r="I12" i="24"/>
  <c r="J12" i="24"/>
  <c r="L12" i="24"/>
  <c r="N12" i="24"/>
  <c r="B13" i="24"/>
  <c r="I13" i="24"/>
  <c r="J13" i="24"/>
  <c r="L13" i="24"/>
  <c r="N13" i="24"/>
  <c r="B14" i="24"/>
  <c r="I14" i="24"/>
  <c r="J14" i="24"/>
  <c r="L14" i="24"/>
  <c r="N14" i="24"/>
  <c r="B15" i="24"/>
  <c r="I15" i="24"/>
  <c r="J15" i="24"/>
  <c r="L15" i="24"/>
  <c r="N15" i="24"/>
  <c r="B16" i="24"/>
  <c r="I16" i="24"/>
  <c r="J16" i="24"/>
  <c r="L16" i="24"/>
  <c r="N16" i="24"/>
  <c r="B17" i="24"/>
  <c r="I17" i="24"/>
  <c r="J17" i="24"/>
  <c r="L17" i="24"/>
  <c r="N17" i="24"/>
  <c r="B18" i="24"/>
  <c r="I18" i="24"/>
  <c r="J18" i="24"/>
  <c r="L18" i="24"/>
  <c r="N18" i="24"/>
  <c r="B19" i="24"/>
  <c r="I19" i="24"/>
  <c r="J19" i="24"/>
  <c r="L19" i="24"/>
  <c r="N19" i="24"/>
  <c r="B20" i="24"/>
  <c r="I20" i="24"/>
  <c r="J20" i="24"/>
  <c r="L20" i="24"/>
  <c r="N20" i="24"/>
  <c r="B21" i="24"/>
  <c r="I21" i="24"/>
  <c r="J21" i="24"/>
  <c r="L21" i="24"/>
  <c r="N21" i="24"/>
  <c r="B22" i="24"/>
  <c r="I22" i="24"/>
  <c r="J22" i="24"/>
  <c r="L22" i="24"/>
  <c r="N22" i="24"/>
  <c r="B23" i="24"/>
  <c r="I23" i="24"/>
  <c r="J23" i="24"/>
  <c r="L23" i="24"/>
  <c r="N23" i="24"/>
  <c r="B24" i="24"/>
  <c r="I24" i="24"/>
  <c r="J24" i="24"/>
  <c r="L24" i="24"/>
  <c r="N24" i="24"/>
  <c r="B25" i="24"/>
  <c r="I25" i="24"/>
  <c r="J25" i="24"/>
  <c r="L25" i="24"/>
  <c r="N25" i="24"/>
  <c r="B26" i="24"/>
  <c r="I26" i="24"/>
  <c r="J26" i="24"/>
  <c r="L26" i="24"/>
  <c r="N26" i="24"/>
  <c r="B27" i="24"/>
  <c r="I27" i="24"/>
  <c r="J27" i="24"/>
  <c r="L27" i="24"/>
  <c r="N27" i="24"/>
  <c r="B28" i="24"/>
  <c r="I28" i="24"/>
  <c r="J28" i="24"/>
  <c r="L28" i="24"/>
  <c r="N28" i="24"/>
  <c r="B29" i="24"/>
  <c r="I29" i="24"/>
  <c r="J29" i="24"/>
  <c r="L29" i="24"/>
  <c r="N29" i="24"/>
  <c r="B30" i="24"/>
  <c r="I30" i="24"/>
  <c r="J30" i="24"/>
  <c r="L30" i="24"/>
  <c r="N30" i="24"/>
  <c r="B31" i="24"/>
  <c r="I31" i="24"/>
  <c r="J31" i="24"/>
  <c r="L31" i="24"/>
  <c r="N31" i="24"/>
  <c r="B32" i="24"/>
  <c r="I32" i="24"/>
  <c r="J32" i="24"/>
  <c r="L32" i="24"/>
  <c r="N32" i="24"/>
  <c r="B33" i="24"/>
  <c r="I33" i="24"/>
  <c r="J33" i="24"/>
  <c r="L33" i="24"/>
  <c r="N33" i="24"/>
  <c r="B34" i="24"/>
  <c r="I34" i="24"/>
  <c r="J34" i="24"/>
  <c r="L34" i="24"/>
  <c r="N34" i="24"/>
  <c r="B35" i="24"/>
  <c r="I35" i="24"/>
  <c r="J35" i="24"/>
  <c r="L35" i="24"/>
  <c r="N35" i="24"/>
  <c r="B36" i="24"/>
  <c r="I36" i="24"/>
  <c r="J36" i="24"/>
  <c r="L36" i="24"/>
  <c r="N36" i="24"/>
  <c r="B37" i="24"/>
  <c r="I37" i="24"/>
  <c r="J37" i="24"/>
  <c r="L37" i="24"/>
  <c r="N37" i="24"/>
  <c r="B38" i="24"/>
  <c r="I38" i="24"/>
  <c r="J38" i="24"/>
  <c r="L38" i="24"/>
  <c r="N38" i="24"/>
  <c r="B39" i="24"/>
  <c r="I39" i="24"/>
  <c r="J39" i="24"/>
  <c r="L39" i="24"/>
  <c r="N39" i="24"/>
  <c r="B40" i="24"/>
  <c r="I40" i="24"/>
  <c r="J40" i="24"/>
  <c r="L40" i="24"/>
  <c r="N40" i="24"/>
  <c r="B41" i="24"/>
  <c r="I41" i="24"/>
  <c r="J41" i="24"/>
  <c r="L41" i="24"/>
  <c r="N41" i="24"/>
  <c r="B42" i="24"/>
  <c r="I42" i="24"/>
  <c r="J42" i="24"/>
  <c r="L42" i="24"/>
  <c r="N42" i="24"/>
  <c r="B43" i="24"/>
  <c r="I43" i="24"/>
  <c r="J43" i="24"/>
  <c r="L43" i="24"/>
  <c r="N43" i="24"/>
  <c r="B44" i="24"/>
  <c r="I44" i="24"/>
  <c r="J44" i="24"/>
  <c r="L44" i="24"/>
  <c r="N44" i="24"/>
  <c r="B45" i="24"/>
  <c r="I45" i="24"/>
  <c r="J45" i="24"/>
  <c r="L45" i="24"/>
  <c r="N45" i="24"/>
  <c r="B46" i="24"/>
  <c r="I46" i="24"/>
  <c r="J46" i="24"/>
  <c r="L46" i="24"/>
  <c r="N46" i="24"/>
  <c r="B47" i="24"/>
  <c r="I47" i="24"/>
  <c r="J47" i="24"/>
  <c r="L47" i="24"/>
  <c r="N47" i="24"/>
  <c r="B48" i="24"/>
  <c r="I48" i="24"/>
  <c r="J48" i="24"/>
  <c r="L48" i="24"/>
  <c r="N48" i="24"/>
  <c r="B49" i="24"/>
  <c r="I49" i="24"/>
  <c r="J49" i="24"/>
  <c r="L49" i="24"/>
  <c r="N49" i="24"/>
  <c r="B50" i="24"/>
  <c r="I50" i="24"/>
  <c r="J50" i="24"/>
  <c r="L50" i="24"/>
  <c r="N50" i="24"/>
  <c r="B51" i="24"/>
  <c r="I51" i="24"/>
  <c r="J51" i="24"/>
  <c r="L51" i="24"/>
  <c r="N51" i="24"/>
  <c r="B2" i="24"/>
  <c r="I2" i="24"/>
  <c r="J2" i="24"/>
  <c r="L2" i="24"/>
  <c r="N2" i="24"/>
  <c r="M3" i="24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2" i="24"/>
  <c r="F56" i="16"/>
  <c r="G56" i="16"/>
  <c r="E16" i="12"/>
  <c r="J56" i="16"/>
  <c r="D11" i="12"/>
  <c r="H56" i="16"/>
  <c r="E5" i="12"/>
  <c r="C56" i="16"/>
  <c r="E13" i="12"/>
  <c r="D56" i="16"/>
  <c r="E14" i="12"/>
  <c r="E56" i="16"/>
  <c r="E15" i="12"/>
  <c r="D4" i="12"/>
  <c r="I56" i="16"/>
  <c r="E17" i="12"/>
  <c r="K56" i="16"/>
  <c r="D8" i="12"/>
  <c r="L56" i="16"/>
  <c r="D19" i="12"/>
  <c r="B56" i="16"/>
  <c r="E9" i="12"/>
  <c r="D20" i="12"/>
  <c r="D7" i="12"/>
  <c r="E12" i="12"/>
  <c r="E21" i="12"/>
  <c r="D23" i="13"/>
  <c r="B2" i="13"/>
  <c r="B3" i="13"/>
  <c r="B13" i="13"/>
  <c r="D10" i="8"/>
  <c r="F7" i="13"/>
  <c r="H7" i="13"/>
  <c r="D23" i="12"/>
  <c r="E23" i="12"/>
  <c r="D15" i="8"/>
  <c r="D14" i="8"/>
  <c r="D13" i="8"/>
  <c r="D12" i="8"/>
  <c r="D17" i="8"/>
  <c r="D21" i="8"/>
  <c r="D20" i="8"/>
  <c r="D19" i="8"/>
  <c r="E13" i="13"/>
  <c r="D23" i="8"/>
  <c r="B5" i="13"/>
  <c r="B7" i="13"/>
  <c r="B9" i="13"/>
  <c r="B1" i="13"/>
  <c r="E10" i="13"/>
  <c r="F10" i="13"/>
  <c r="H10" i="13"/>
  <c r="E12" i="13"/>
  <c r="F12" i="13"/>
  <c r="H12" i="13"/>
  <c r="E11" i="13"/>
  <c r="F11" i="13"/>
  <c r="H11" i="13"/>
  <c r="E8" i="13"/>
  <c r="F8" i="13"/>
  <c r="H8" i="13"/>
  <c r="E9" i="13"/>
  <c r="F9" i="13"/>
  <c r="H9" i="13"/>
  <c r="H13" i="13"/>
  <c r="B11" i="13"/>
  <c r="B15" i="13"/>
  <c r="B14" i="13"/>
  <c r="B16" i="13"/>
  <c r="B17" i="13"/>
  <c r="D24" i="8"/>
  <c r="D27" i="8"/>
  <c r="D28" i="8"/>
  <c r="D30" i="8"/>
</calcChain>
</file>

<file path=xl/sharedStrings.xml><?xml version="1.0" encoding="utf-8"?>
<sst xmlns="http://schemas.openxmlformats.org/spreadsheetml/2006/main" count="1072" uniqueCount="347">
  <si>
    <t>Matricule</t>
  </si>
  <si>
    <t>Nom</t>
  </si>
  <si>
    <t>Prenom</t>
  </si>
  <si>
    <t xml:space="preserve">Sexe </t>
  </si>
  <si>
    <t>Categorie</t>
  </si>
  <si>
    <t>Nb_epouse</t>
  </si>
  <si>
    <t>Nb_enfant</t>
  </si>
  <si>
    <t>Sursalaire</t>
  </si>
  <si>
    <t>H_supp_60</t>
  </si>
  <si>
    <t>H_supp_100</t>
  </si>
  <si>
    <t>H_supp_15</t>
  </si>
  <si>
    <t>H_supp_40</t>
  </si>
  <si>
    <t>Prime</t>
  </si>
  <si>
    <t>Avantage</t>
  </si>
  <si>
    <t>Indemnite</t>
  </si>
  <si>
    <t>IPM</t>
  </si>
  <si>
    <t>Avance_Ac</t>
  </si>
  <si>
    <t>Opposition</t>
  </si>
  <si>
    <t>N°</t>
  </si>
  <si>
    <t>A</t>
  </si>
  <si>
    <t>B</t>
  </si>
  <si>
    <t>C</t>
  </si>
  <si>
    <t>Date_Nais</t>
  </si>
  <si>
    <t>Lieu_Nais</t>
  </si>
  <si>
    <t>Etat_Civil</t>
  </si>
  <si>
    <t>M</t>
  </si>
  <si>
    <t>F</t>
  </si>
  <si>
    <t>Marié</t>
  </si>
  <si>
    <t>Célibataire</t>
  </si>
  <si>
    <t>Divorcé</t>
  </si>
  <si>
    <t>Veuf</t>
  </si>
  <si>
    <t>SBS</t>
  </si>
  <si>
    <t>RG</t>
  </si>
  <si>
    <t>RC</t>
  </si>
  <si>
    <t>TRIMF</t>
  </si>
  <si>
    <t>IR</t>
  </si>
  <si>
    <t>Age</t>
  </si>
  <si>
    <t>Type de régime</t>
  </si>
  <si>
    <t xml:space="preserve"> Prénom</t>
  </si>
  <si>
    <t xml:space="preserve">Etat Civil </t>
  </si>
  <si>
    <t>nombre d'enfants</t>
  </si>
  <si>
    <t>Lieu de naissance</t>
  </si>
  <si>
    <t>Date de naissance</t>
  </si>
  <si>
    <t>Cadre</t>
  </si>
  <si>
    <t>General</t>
  </si>
  <si>
    <t>Salaire de base</t>
  </si>
  <si>
    <t>Heure supp à 15%</t>
  </si>
  <si>
    <t>Heure supp à 40%</t>
  </si>
  <si>
    <t>Heure supp à 60%</t>
  </si>
  <si>
    <t>Heure supp à 100%</t>
  </si>
  <si>
    <t>Prime Imposable</t>
  </si>
  <si>
    <t>Régime Général</t>
  </si>
  <si>
    <t>Acompte et Avances</t>
  </si>
  <si>
    <t>Prime non imposable</t>
  </si>
  <si>
    <t>Salaire Brut Social</t>
  </si>
  <si>
    <t>Salaire Brut Fiscal</t>
  </si>
  <si>
    <t>RETENUES</t>
  </si>
  <si>
    <t>Net à Payer</t>
  </si>
  <si>
    <t>Taux Horaire</t>
  </si>
  <si>
    <t>Revenu brut Mensuel :</t>
  </si>
  <si>
    <t>Revenu brut Annuel :</t>
  </si>
  <si>
    <t xml:space="preserve">Abattement (30%) : </t>
  </si>
  <si>
    <t xml:space="preserve">Revenu Imposable : </t>
  </si>
  <si>
    <t xml:space="preserve">Impôt Liquidé : </t>
  </si>
  <si>
    <t xml:space="preserve">Taux : </t>
  </si>
  <si>
    <t xml:space="preserve">Réduction d’impôt : </t>
  </si>
  <si>
    <t xml:space="preserve">IR mensuel simulé : </t>
  </si>
  <si>
    <t>Rreduction impot pour 1 part</t>
  </si>
  <si>
    <t>Total des retenues</t>
  </si>
  <si>
    <t xml:space="preserve">Salaire Net </t>
  </si>
  <si>
    <t>Regime cadre</t>
  </si>
  <si>
    <t>MATY SEYE</t>
  </si>
  <si>
    <t>Comptabilisation du livre de paie</t>
  </si>
  <si>
    <t>Debit</t>
  </si>
  <si>
    <t>Credit</t>
  </si>
  <si>
    <t>Libelle</t>
  </si>
  <si>
    <t>Montant_debit</t>
  </si>
  <si>
    <t>Montant_credit</t>
  </si>
  <si>
    <t>Avance et Acompte</t>
  </si>
  <si>
    <t>Retraite obligatoire</t>
  </si>
  <si>
    <t>Retraite facultative</t>
  </si>
  <si>
    <t>Mutuelle de Santé</t>
  </si>
  <si>
    <t>Etat Impôts Retenus à la source</t>
  </si>
  <si>
    <t>Personnel Rémunération dues</t>
  </si>
  <si>
    <t>661 ou 662</t>
  </si>
  <si>
    <t>Rémunération directe versée</t>
  </si>
  <si>
    <t>Indemnités forfaitaires</t>
  </si>
  <si>
    <t>Banque</t>
  </si>
  <si>
    <t xml:space="preserve">Comptabilisation du reglement des salaires et oppositions </t>
  </si>
  <si>
    <t>Total</t>
  </si>
  <si>
    <t>1231-BA/B</t>
  </si>
  <si>
    <t>ADAMA</t>
  </si>
  <si>
    <t>BA</t>
  </si>
  <si>
    <t>DAKAR</t>
  </si>
  <si>
    <t>1231-BAMPASSY/B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</si>
  <si>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</si>
  <si>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</si>
  <si>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</si>
  <si>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</si>
  <si>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</si>
  <si>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</si>
  <si>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</si>
  <si>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</si>
  <si>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</si>
  <si>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</si>
  <si>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</si>
  <si>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</si>
  <si>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</si>
  <si>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</si>
  <si>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</si>
  <si>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</si>
  <si>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</si>
  <si>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</si>
  <si>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</si>
  <si>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</si>
  <si>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</si>
  <si>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</si>
  <si>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</si>
  <si>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</si>
  <si>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</si>
  <si>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</si>
  <si>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31/01/1982</t>
  </si>
  <si>
    <t>PIKINE</t>
  </si>
  <si>
    <t>4567-DIALLO/A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</si>
  <si>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</si>
  <si>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</si>
  <si>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</si>
  <si>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</si>
  <si>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</si>
  <si>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</si>
  <si>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</si>
  <si>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</si>
  <si>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</si>
  <si>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</si>
  <si>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</si>
  <si>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</si>
  <si>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</si>
  <si>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</si>
  <si>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</si>
  <si>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</si>
  <si>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</si>
  <si>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</si>
  <si>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</si>
  <si>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</si>
  <si>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</si>
  <si>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</si>
  <si>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</si>
  <si>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</si>
  <si>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</si>
  <si>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</si>
  <si>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</si>
  <si>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</si>
  <si>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BEMBEY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</si>
  <si>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</si>
  <si>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</si>
  <si>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</si>
  <si>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</si>
  <si>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</si>
  <si>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</si>
  <si>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</si>
  <si>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</si>
  <si>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</si>
  <si>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</si>
  <si>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</si>
  <si>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LONMPOUL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</si>
  <si>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</si>
  <si>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</si>
  <si>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</si>
  <si>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</si>
  <si>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</si>
  <si>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</si>
  <si>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</si>
  <si>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</si>
  <si>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</si>
  <si>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</si>
  <si>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</si>
  <si>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</si>
  <si>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</si>
  <si>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</si>
  <si>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</si>
  <si>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</si>
  <si>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</si>
  <si>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</si>
  <si>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</si>
  <si>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</si>
  <si>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</si>
  <si>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</si>
  <si>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</si>
  <si>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</si>
  <si>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</si>
  <si>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</si>
  <si>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</si>
  <si>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</si>
  <si>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</si>
  <si>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</si>
  <si>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</si>
  <si>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</si>
  <si>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</si>
  <si>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</si>
  <si>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</si>
  <si>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</si>
  <si>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</si>
  <si>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</si>
  <si>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</si>
  <si>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</si>
  <si>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</si>
  <si>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</si>
  <si>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</si>
  <si>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</si>
  <si>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</si>
  <si>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</si>
  <si>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</si>
  <si>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</si>
  <si>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</si>
  <si>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</si>
  <si>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12330=LO/A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</si>
  <si>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</si>
  <si>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</si>
  <si>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</si>
  <si>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</si>
  <si>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</si>
  <si>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</si>
  <si>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</si>
  <si>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</si>
  <si>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12332-MBAYE-B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</si>
  <si>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</si>
  <si>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</si>
  <si>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</si>
  <si>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</si>
  <si>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</si>
  <si>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</si>
  <si>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</si>
  <si>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</si>
  <si>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</si>
  <si>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</si>
  <si>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</si>
  <si>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</si>
  <si>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</si>
  <si>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</si>
  <si>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</si>
  <si>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</si>
  <si>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</si>
  <si>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</si>
  <si>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</si>
  <si>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</si>
  <si>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</si>
  <si>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</si>
  <si>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</si>
  <si>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</si>
  <si>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</si>
  <si>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</si>
  <si>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</si>
  <si>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</si>
  <si>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</si>
  <si>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</si>
  <si>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</si>
  <si>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</si>
  <si>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</si>
  <si>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</si>
  <si>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</si>
  <si>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</si>
  <si>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29/08/1977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</si>
  <si>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</si>
  <si>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</si>
  <si>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</si>
  <si>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</si>
  <si>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</si>
  <si>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</si>
  <si>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</si>
  <si>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</si>
  <si>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</si>
  <si>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</si>
  <si>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12344-SEYDY/B</t>
  </si>
  <si>
    <t>MOUSSA</t>
  </si>
  <si>
    <t>SEYDY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</si>
  <si>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</si>
  <si>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</si>
  <si>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</si>
  <si>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</si>
  <si>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</si>
  <si>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</si>
  <si>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</si>
  <si>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</si>
  <si>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</si>
  <si>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</si>
  <si>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</si>
  <si>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</si>
  <si>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</si>
  <si>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</si>
  <si>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</si>
  <si>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</si>
  <si>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</si>
  <si>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PHILIPPE MODOU</t>
  </si>
  <si>
    <t>TAVARESE</t>
  </si>
  <si>
    <t>23/04/1985</t>
  </si>
  <si>
    <t>12350-THIAM/B</t>
  </si>
  <si>
    <t>KHADIM</t>
  </si>
  <si>
    <t>THIAM</t>
  </si>
  <si>
    <t>21/12/1981</t>
  </si>
  <si>
    <t>BULLETIN DE SALAIRE</t>
  </si>
  <si>
    <t>JOURNAL DE PAIE</t>
  </si>
  <si>
    <t xml:space="preserve">nombre de parts : </t>
  </si>
  <si>
    <t>Part du Salarié</t>
  </si>
  <si>
    <t>TRIMF ANNUEL</t>
  </si>
  <si>
    <t>Nombre epouse</t>
  </si>
  <si>
    <t>EMPLOYES</t>
  </si>
  <si>
    <t>AVANCE_AC</t>
  </si>
  <si>
    <t>OPPOSITION</t>
  </si>
  <si>
    <t>INDEMNITE</t>
  </si>
  <si>
    <t>SALAIRE_NET</t>
  </si>
  <si>
    <t>AGE</t>
  </si>
  <si>
    <t>Nombre de AGE</t>
  </si>
  <si>
    <t>34 ans</t>
  </si>
  <si>
    <t>35 ans</t>
  </si>
  <si>
    <t>36 ans</t>
  </si>
  <si>
    <t>37 ans</t>
  </si>
  <si>
    <t>38 ans</t>
  </si>
  <si>
    <t>39 ans</t>
  </si>
  <si>
    <t>40 ans</t>
  </si>
  <si>
    <t>41 ans</t>
  </si>
  <si>
    <t>42 ans</t>
  </si>
  <si>
    <t>43 ans</t>
  </si>
  <si>
    <t>44 ans</t>
  </si>
  <si>
    <t>45 ans</t>
  </si>
  <si>
    <t>TH</t>
  </si>
  <si>
    <t>HS</t>
  </si>
  <si>
    <t>SALAIRE DE BAS</t>
  </si>
  <si>
    <t>Regime General</t>
  </si>
  <si>
    <t>Regime Cdare</t>
  </si>
  <si>
    <t>Trimf</t>
  </si>
  <si>
    <t>Impot sur le revenu</t>
  </si>
  <si>
    <t>Avances_Acomptes</t>
  </si>
  <si>
    <t>Oppositions</t>
  </si>
  <si>
    <t>Totales Retenues</t>
  </si>
  <si>
    <t>Salaire Net</t>
  </si>
  <si>
    <t>Indemnites</t>
  </si>
  <si>
    <t>Salaire net à payer</t>
  </si>
  <si>
    <t>heure_supp</t>
  </si>
  <si>
    <t>salaire_base</t>
  </si>
  <si>
    <t>taux horaire</t>
  </si>
  <si>
    <t>Répartition selon le sexe</t>
  </si>
  <si>
    <t>Répartition selon la catégorie professionnelle</t>
  </si>
  <si>
    <t>Répartition selon l'état civil</t>
  </si>
  <si>
    <t>CATEGORIE A</t>
  </si>
  <si>
    <t>CATEGORIE B</t>
  </si>
  <si>
    <t>CATEGORIE C</t>
  </si>
  <si>
    <t>ipres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</si>
</sst>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dd/mm/yy;@"/>
    <numFmt numFmtId="166" formatCode="_-* #,##0\ _€_-;\-* #,##0\ _€_-;_-* &quot;-&quot;??\ _€_-;_-@_-"/>
    <numFmt numFmtId="167" formatCode="_-* #,##0.0\ _€_-;\-* #,##0.0\ _€_-;_-* &quot;-&quot;??\ _€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indexed="10"/>
      <name val="Arial"/>
      <family val="2"/>
    </font>
    <font>
      <sz val="16"/>
      <color theme="1"/>
      <name val="Calibri"/>
      <family val="2"/>
      <scheme val="minor"/>
    </font>
    <font>
      <sz val="16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lgerian"/>
      <family val="5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0" xfId="0"/>
    <xf numFmtId="0" fontId="0" fillId="0" borderId="0" xfId="0"/>
    <xf numFmtId="0" fontId="0" fillId="0" borderId="2" xfId="0" applyBorder="1" applyAlignment="1"/>
    <xf numFmtId="0" fontId="0" fillId="0" borderId="0" xfId="0" applyAlignment="1"/>
    <xf numFmtId="0" fontId="3" fillId="0" borderId="0" xfId="0" applyFont="1"/>
    <xf numFmtId="166" fontId="0" fillId="0" borderId="0" xfId="1" applyNumberFormat="1" applyFont="1"/>
    <xf numFmtId="164" fontId="0" fillId="0" borderId="0" xfId="1" applyFont="1"/>
    <xf numFmtId="167" fontId="0" fillId="0" borderId="0" xfId="1" applyNumberFormat="1" applyFont="1"/>
    <xf numFmtId="0" fontId="0" fillId="0" borderId="0" xfId="1" applyNumberFormat="1" applyFont="1"/>
    <xf numFmtId="3" fontId="0" fillId="0" borderId="0" xfId="0" applyNumberFormat="1"/>
    <xf numFmtId="3" fontId="4" fillId="0" borderId="0" xfId="0" applyNumberFormat="1" applyFont="1"/>
    <xf numFmtId="9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166" fontId="2" fillId="2" borderId="0" xfId="1" applyNumberFormat="1" applyFont="1" applyFill="1" applyBorder="1"/>
    <xf numFmtId="0" fontId="5" fillId="0" borderId="1" xfId="0" applyFont="1" applyBorder="1"/>
    <xf numFmtId="0" fontId="5" fillId="0" borderId="0" xfId="0" applyFont="1"/>
    <xf numFmtId="0" fontId="6" fillId="0" borderId="1" xfId="0" applyFont="1" applyBorder="1"/>
    <xf numFmtId="14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" xfId="0" applyFont="1" applyBorder="1" applyAlignment="1"/>
    <xf numFmtId="0" fontId="0" fillId="0" borderId="1" xfId="0" applyFont="1" applyBorder="1"/>
    <xf numFmtId="49" fontId="0" fillId="0" borderId="1" xfId="0" applyNumberFormat="1" applyFont="1" applyBorder="1"/>
    <xf numFmtId="165" fontId="0" fillId="0" borderId="1" xfId="0" applyNumberFormat="1" applyFont="1" applyBorder="1"/>
    <xf numFmtId="1" fontId="0" fillId="0" borderId="1" xfId="0" applyNumberFormat="1" applyFont="1" applyBorder="1"/>
    <xf numFmtId="0" fontId="0" fillId="3" borderId="1" xfId="0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0" fontId="0" fillId="3" borderId="1" xfId="0" applyFont="1" applyFill="1" applyBorder="1" applyAlignment="1"/>
    <xf numFmtId="0" fontId="0" fillId="3" borderId="3" xfId="0" applyFont="1" applyFill="1" applyBorder="1"/>
    <xf numFmtId="0" fontId="0" fillId="3" borderId="3" xfId="0" applyFont="1" applyFill="1" applyBorder="1" applyAlignment="1"/>
    <xf numFmtId="0" fontId="2" fillId="3" borderId="3" xfId="0" applyFont="1" applyFill="1" applyBorder="1"/>
    <xf numFmtId="0" fontId="9" fillId="5" borderId="1" xfId="0" applyFont="1" applyFill="1" applyBorder="1"/>
    <xf numFmtId="0" fontId="0" fillId="4" borderId="1" xfId="0" applyFont="1" applyFill="1" applyBorder="1"/>
    <xf numFmtId="0" fontId="0" fillId="6" borderId="1" xfId="0" applyFill="1" applyBorder="1"/>
    <xf numFmtId="0" fontId="0" fillId="0" borderId="0" xfId="0" applyAlignment="1">
      <alignment wrapText="1"/>
    </xf>
    <xf numFmtId="166" fontId="0" fillId="0" borderId="0" xfId="2" applyNumberFormat="1" applyFont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1" fillId="0" borderId="1" xfId="0" applyFont="1" applyBorder="1"/>
    <xf numFmtId="0" fontId="11" fillId="0" borderId="1" xfId="0" applyFont="1" applyBorder="1" applyAlignment="1">
      <alignment horizontal="right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12" fillId="0" borderId="1" xfId="0" applyFont="1" applyBorder="1" applyAlignment="1">
      <alignment wrapText="1"/>
    </xf>
    <xf numFmtId="0" fontId="12" fillId="0" borderId="1" xfId="0" applyFont="1" applyBorder="1"/>
    <xf numFmtId="0" fontId="2" fillId="5" borderId="1" xfId="0" applyFont="1" applyFill="1" applyBorder="1"/>
    <xf numFmtId="0" fontId="2" fillId="5" borderId="1" xfId="0" applyNumberFormat="1" applyFont="1" applyFill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/>
    <xf numFmtId="14" fontId="15" fillId="0" borderId="1" xfId="0" applyNumberFormat="1" applyFont="1" applyBorder="1" applyAlignment="1">
      <alignment horizontal="right"/>
    </xf>
    <xf numFmtId="0" fontId="15" fillId="0" borderId="1" xfId="0" applyFont="1" applyBorder="1" applyAlignment="1">
      <alignment horizontal="right"/>
    </xf>
    <xf numFmtId="0" fontId="14" fillId="7" borderId="1" xfId="0" applyFont="1" applyFill="1" applyBorder="1"/>
    <xf numFmtId="0" fontId="14" fillId="7" borderId="1" xfId="0" applyFont="1" applyFill="1" applyBorder="1" applyAlignment="1">
      <alignment horizontal="right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/>
    <xf numFmtId="0" fontId="15" fillId="7" borderId="1" xfId="0" applyFont="1" applyFill="1" applyBorder="1" applyAlignment="1">
      <alignment horizontal="right"/>
    </xf>
    <xf numFmtId="0" fontId="0" fillId="11" borderId="1" xfId="0" applyFill="1" applyBorder="1"/>
    <xf numFmtId="0" fontId="0" fillId="12" borderId="1" xfId="0" applyFill="1" applyBorder="1"/>
    <xf numFmtId="0" fontId="0" fillId="0" borderId="1" xfId="0" applyNumberFormat="1" applyBorder="1"/>
    <xf numFmtId="0" fontId="0" fillId="14" borderId="0" xfId="0" applyFont="1" applyFill="1"/>
    <xf numFmtId="0" fontId="14" fillId="8" borderId="0" xfId="0" applyFont="1" applyFill="1" applyAlignment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0" fontId="14" fillId="9" borderId="15" xfId="0" applyFont="1" applyFill="1" applyBorder="1" applyAlignment="1">
      <alignment horizontal="center"/>
    </xf>
    <xf numFmtId="0" fontId="14" fillId="9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6" fillId="13" borderId="0" xfId="0" applyFont="1" applyFill="1" applyAlignment="1">
      <alignment horizontal="center"/>
    </xf>
    <xf numFmtId="0" fontId="0" fillId="13" borderId="0" xfId="0" applyFont="1" applyFill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center" vertical="center"/>
    </xf>
  </cellXfs>
  <cellStyles count="3">
    <cellStyle name="Milliers" xfId="1" builtinId="3"/>
    <cellStyle name="Normal" xfId="0" builtinId="0"/>
    <cellStyle name="Pourcentage" xfId="2" builtinId="5"/>
  </cellStyles>
  <dxfs count="13"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ill>
        <patternFill patternType="lightUp">
          <fgColor theme="9" tint="-0.24994659260841701"/>
        </patternFill>
      </fill>
    </dxf>
    <dxf>
      <fill>
        <patternFill patternType="darkDown">
          <fgColor rgb="FFFFFF00"/>
          <bgColor theme="0"/>
        </patternFill>
      </fill>
    </dxf>
    <dxf>
      <fill>
        <patternFill patternType="darkGrid">
          <f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styles" Target="styles.xml" /><Relationship Id="rId2" Type="http://schemas.openxmlformats.org/officeDocument/2006/relationships/worksheet" Target="worksheets/sheet2.xml" /><Relationship Id="rId16" Type="http://schemas.openxmlformats.org/officeDocument/2006/relationships/theme" Target="theme/theme1.xml" /><Relationship Id="rId20" Type="http://schemas.microsoft.com/office/2006/relationships/vbaProject" Target="vbaProject.bin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openxmlformats.org/officeDocument/2006/relationships/pivotCacheDefinition" Target="pivotCache/pivotCacheDefinition1.xml" /><Relationship Id="rId10" Type="http://schemas.openxmlformats.org/officeDocument/2006/relationships/worksheet" Target="worksheets/sheet10.xml" /><Relationship Id="rId19" Type="http://schemas.openxmlformats.org/officeDocument/2006/relationships/calcChain" Target="calcChain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 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 /><Relationship Id="rId1" Type="http://schemas.microsoft.com/office/2011/relationships/chartStyle" Target="style3.xml" 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 /><Relationship Id="rId1" Type="http://schemas.microsoft.com/office/2011/relationships/chartStyle" Target="style4.xml" 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 /><Relationship Id="rId1" Type="http://schemas.microsoft.com/office/2011/relationships/chartStyle" Target="style5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BORD'!$A$2:$A$3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'TABLEAU DE BORD'!$B$2:$B$3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B4-5043-9CE5-555C2A66D19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pattFill prst="ltDnDiag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solidFill>
                <a:schemeClr val="accent6"/>
              </a:solidFill>
            </a:ln>
            <a:effectLst/>
            <a:sp3d>
              <a:contourClr>
                <a:schemeClr val="accent6"/>
              </a:contourClr>
            </a:sp3d>
          </c:spPr>
          <c:invertIfNegative val="0"/>
          <c:cat>
            <c:strRef>
              <c:f>'TABLEAU DE BORD'!$G$2:$G$5</c:f>
              <c:strCache>
                <c:ptCount val="3"/>
                <c:pt idx="0">
                  <c:v>CATEGORIE A</c:v>
                </c:pt>
                <c:pt idx="1">
                  <c:v>CATEGORIE B</c:v>
                </c:pt>
                <c:pt idx="2">
                  <c:v>CATEGORIE C</c:v>
                </c:pt>
              </c:strCache>
            </c:strRef>
          </c:cat>
          <c:val>
            <c:numRef>
              <c:f>'TABLEAU DE BORD'!$H$2:$H$5</c:f>
              <c:numCache>
                <c:formatCode>General</c:formatCode>
                <c:ptCount val="4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B-2F48-A292-5DF19E55F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343101568"/>
        <c:axId val="1343102656"/>
        <c:axId val="1342224192"/>
      </c:bar3DChart>
      <c:catAx>
        <c:axId val="134310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02656"/>
        <c:crosses val="autoZero"/>
        <c:auto val="1"/>
        <c:lblAlgn val="ctr"/>
        <c:lblOffset val="100"/>
        <c:noMultiLvlLbl val="0"/>
      </c:catAx>
      <c:valAx>
        <c:axId val="1343102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01568"/>
        <c:crosses val="autoZero"/>
        <c:crossBetween val="between"/>
      </c:valAx>
      <c:serAx>
        <c:axId val="134222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026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noFill/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strRef>
              <c:f>'TABLEAU DE BORD'!$M$2:$M$3</c:f>
              <c:strCache>
                <c:ptCount val="2"/>
                <c:pt idx="0">
                  <c:v>Marié</c:v>
                </c:pt>
                <c:pt idx="1">
                  <c:v>Célibataire</c:v>
                </c:pt>
              </c:strCache>
            </c:strRef>
          </c:xVal>
          <c:yVal>
            <c:numRef>
              <c:f>'TABLEAU DE BORD'!$N$2:$N$3</c:f>
              <c:numCache>
                <c:formatCode>General</c:formatCode>
                <c:ptCount val="2"/>
                <c:pt idx="0">
                  <c:v>30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2-8441-9FD4-6978F5E00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109728"/>
        <c:axId val="1343103200"/>
      </c:scatterChart>
      <c:valAx>
        <c:axId val="134310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03200"/>
        <c:crosses val="autoZero"/>
        <c:crossBetween val="midCat"/>
      </c:valAx>
      <c:valAx>
        <c:axId val="134310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solidFill>
            <a:srgbClr val="FFC000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0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strRef>
              <c:f>'TABLEAU DE BORD'!$R$2:$R$3</c:f>
              <c:strCache>
                <c:ptCount val="2"/>
                <c:pt idx="0">
                  <c:v>RG</c:v>
                </c:pt>
                <c:pt idx="1">
                  <c:v>RC</c:v>
                </c:pt>
              </c:strCache>
            </c:strRef>
          </c:cat>
          <c:val>
            <c:numRef>
              <c:f>'TABLEAU DE BORD'!$S$2:$S$3</c:f>
              <c:numCache>
                <c:formatCode>General</c:formatCode>
                <c:ptCount val="2"/>
                <c:pt idx="0">
                  <c:v>19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F-734D-8711-348A6E1E4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110816"/>
        <c:axId val="1433621312"/>
      </c:areaChart>
      <c:catAx>
        <c:axId val="134311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3621312"/>
        <c:crosses val="autoZero"/>
        <c:auto val="1"/>
        <c:lblAlgn val="ctr"/>
        <c:lblOffset val="100"/>
        <c:noMultiLvlLbl val="0"/>
      </c:catAx>
      <c:valAx>
        <c:axId val="143362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311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 MSDA (2).xlsm]TABLEAU DE BORD!Tableau croisé dynamique15</c:name>
    <c:fmtId val="1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'TABLEAU DE BORD'!$W$1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'TABLEAU DE BORD'!$V$2:$V$13</c:f>
              <c:strCache>
                <c:ptCount val="12"/>
                <c:pt idx="0">
                  <c:v>34 ans</c:v>
                </c:pt>
                <c:pt idx="1">
                  <c:v>35 ans</c:v>
                </c:pt>
                <c:pt idx="2">
                  <c:v>36 ans</c:v>
                </c:pt>
                <c:pt idx="3">
                  <c:v>37 ans</c:v>
                </c:pt>
                <c:pt idx="4">
                  <c:v>38 ans</c:v>
                </c:pt>
                <c:pt idx="5">
                  <c:v>39 ans</c:v>
                </c:pt>
                <c:pt idx="6">
                  <c:v>40 ans</c:v>
                </c:pt>
                <c:pt idx="7">
                  <c:v>41 ans</c:v>
                </c:pt>
                <c:pt idx="8">
                  <c:v>42 ans</c:v>
                </c:pt>
                <c:pt idx="9">
                  <c:v>43 ans</c:v>
                </c:pt>
                <c:pt idx="10">
                  <c:v>44 ans</c:v>
                </c:pt>
                <c:pt idx="11">
                  <c:v>45 ans</c:v>
                </c:pt>
              </c:strCache>
            </c:strRef>
          </c:cat>
          <c:val>
            <c:numRef>
              <c:f>'TABLEAU DE BORD'!$W$2:$W$13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6</c:v>
                </c:pt>
                <c:pt idx="7">
                  <c:v>2</c:v>
                </c:pt>
                <c:pt idx="8">
                  <c:v>9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3-4A41-9247-DCA68AC35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3616960"/>
        <c:axId val="1433620224"/>
      </c:barChart>
      <c:catAx>
        <c:axId val="143361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3620224"/>
        <c:crosses val="autoZero"/>
        <c:auto val="1"/>
        <c:lblAlgn val="ctr"/>
        <c:lblOffset val="100"/>
        <c:noMultiLvlLbl val="0"/>
      </c:catAx>
      <c:valAx>
        <c:axId val="14336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3361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 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 /><Relationship Id="rId2" Type="http://schemas.openxmlformats.org/officeDocument/2006/relationships/chart" Target="../charts/chart2.xml" /><Relationship Id="rId1" Type="http://schemas.openxmlformats.org/officeDocument/2006/relationships/chart" Target="../charts/chart1.xml" /><Relationship Id="rId5" Type="http://schemas.openxmlformats.org/officeDocument/2006/relationships/chart" Target="../charts/chart5.xml" /><Relationship Id="rId4" Type="http://schemas.openxmlformats.org/officeDocument/2006/relationships/chart" Target="../charts/chart4.xml" 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 /><Relationship Id="rId1" Type="http://schemas.openxmlformats.org/officeDocument/2006/relationships/image" Target="../media/image3.emf" 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 /><Relationship Id="rId1" Type="http://schemas.openxmlformats.org/officeDocument/2006/relationships/image" Target="../media/image5.emf" 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 /><Relationship Id="rId1" Type="http://schemas.openxmlformats.org/officeDocument/2006/relationships/image" Target="../media/image7.emf" 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1</xdr:rowOff>
    </xdr:from>
    <xdr:to>
      <xdr:col>16</xdr:col>
      <xdr:colOff>647700</xdr:colOff>
      <xdr:row>22</xdr:row>
      <xdr:rowOff>38101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"/>
          <a:ext cx="12839698" cy="42291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542925</xdr:colOff>
      <xdr:row>0</xdr:row>
      <xdr:rowOff>95250</xdr:rowOff>
    </xdr:from>
    <xdr:to>
      <xdr:col>6</xdr:col>
      <xdr:colOff>581025</xdr:colOff>
      <xdr:row>2</xdr:row>
      <xdr:rowOff>114300</xdr:rowOff>
    </xdr:to>
    <xdr:sp macro="[0]!Ellipse13_Cliquer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828925" y="95250"/>
          <a:ext cx="2324100" cy="4000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panneau</a:t>
          </a:r>
          <a:r>
            <a:rPr lang="fr-FR" sz="1100" baseline="0">
              <a:latin typeface="Algerian" panose="04020705040A02060702" pitchFamily="82" charset="0"/>
            </a:rPr>
            <a:t> de saisie</a:t>
          </a:r>
          <a:endParaRPr lang="fr-FR" sz="1100">
            <a:latin typeface="Algerian" panose="04020705040A02060702" pitchFamily="82" charset="0"/>
          </a:endParaRPr>
        </a:p>
      </xdr:txBody>
    </xdr:sp>
    <xdr:clientData/>
  </xdr:twoCellAnchor>
  <xdr:twoCellAnchor>
    <xdr:from>
      <xdr:col>3</xdr:col>
      <xdr:colOff>333377</xdr:colOff>
      <xdr:row>10</xdr:row>
      <xdr:rowOff>171451</xdr:rowOff>
    </xdr:from>
    <xdr:to>
      <xdr:col>6</xdr:col>
      <xdr:colOff>295275</xdr:colOff>
      <xdr:row>13</xdr:row>
      <xdr:rowOff>1</xdr:rowOff>
    </xdr:to>
    <xdr:sp macro="[0]!Ellipse14_Cliquer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619377" y="2076451"/>
          <a:ext cx="2247898" cy="4000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journal  de paie</a:t>
          </a:r>
        </a:p>
      </xdr:txBody>
    </xdr:sp>
    <xdr:clientData/>
  </xdr:twoCellAnchor>
  <xdr:twoCellAnchor>
    <xdr:from>
      <xdr:col>3</xdr:col>
      <xdr:colOff>419102</xdr:colOff>
      <xdr:row>7</xdr:row>
      <xdr:rowOff>104776</xdr:rowOff>
    </xdr:from>
    <xdr:to>
      <xdr:col>6</xdr:col>
      <xdr:colOff>361950</xdr:colOff>
      <xdr:row>9</xdr:row>
      <xdr:rowOff>123826</xdr:rowOff>
    </xdr:to>
    <xdr:sp macro="[0]!Ellipse15_Cliquer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705102" y="1438276"/>
          <a:ext cx="2228848" cy="4000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livre de paie</a:t>
          </a:r>
        </a:p>
      </xdr:txBody>
    </xdr:sp>
    <xdr:clientData/>
  </xdr:twoCellAnchor>
  <xdr:twoCellAnchor>
    <xdr:from>
      <xdr:col>3</xdr:col>
      <xdr:colOff>438151</xdr:colOff>
      <xdr:row>3</xdr:row>
      <xdr:rowOff>171451</xdr:rowOff>
    </xdr:from>
    <xdr:to>
      <xdr:col>6</xdr:col>
      <xdr:colOff>466724</xdr:colOff>
      <xdr:row>6</xdr:row>
      <xdr:rowOff>1</xdr:rowOff>
    </xdr:to>
    <xdr:sp macro="[0]!Ellipse16_Cliquer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724151" y="742951"/>
          <a:ext cx="2314573" cy="4000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bulletin de paie</a:t>
          </a:r>
        </a:p>
      </xdr:txBody>
    </xdr:sp>
    <xdr:clientData/>
  </xdr:twoCellAnchor>
  <xdr:twoCellAnchor>
    <xdr:from>
      <xdr:col>3</xdr:col>
      <xdr:colOff>247651</xdr:colOff>
      <xdr:row>14</xdr:row>
      <xdr:rowOff>57151</xdr:rowOff>
    </xdr:from>
    <xdr:to>
      <xdr:col>6</xdr:col>
      <xdr:colOff>161924</xdr:colOff>
      <xdr:row>16</xdr:row>
      <xdr:rowOff>76201</xdr:rowOff>
    </xdr:to>
    <xdr:sp macro="[0]!Ellipse19_Cliquer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533651" y="2724151"/>
          <a:ext cx="2200273" cy="4000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tableau de</a:t>
          </a:r>
          <a:r>
            <a:rPr lang="fr-FR" sz="1100" baseline="0">
              <a:latin typeface="Algerian" panose="04020705040A02060702" pitchFamily="82" charset="0"/>
            </a:rPr>
            <a:t> bord</a:t>
          </a:r>
          <a:endParaRPr lang="fr-FR" sz="11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571499</xdr:colOff>
      <xdr:row>18</xdr:row>
      <xdr:rowOff>161925</xdr:rowOff>
    </xdr:from>
    <xdr:to>
      <xdr:col>1</xdr:col>
      <xdr:colOff>647700</xdr:colOff>
      <xdr:row>20</xdr:row>
      <xdr:rowOff>114300</xdr:rowOff>
    </xdr:to>
    <xdr:sp macro="[0]!Ellipse20_Cliquer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71499" y="3590925"/>
          <a:ext cx="838201" cy="333375"/>
        </a:xfrm>
        <a:prstGeom prst="ellipse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rial Black" panose="020B0A04020102020204" pitchFamily="34" charset="0"/>
            </a:rPr>
            <a:t>QUIT</a:t>
          </a:r>
        </a:p>
      </xdr:txBody>
    </xdr:sp>
    <xdr:clientData/>
  </xdr:twoCellAnchor>
  <xdr:twoCellAnchor>
    <xdr:from>
      <xdr:col>3</xdr:col>
      <xdr:colOff>238125</xdr:colOff>
      <xdr:row>17</xdr:row>
      <xdr:rowOff>95251</xdr:rowOff>
    </xdr:from>
    <xdr:to>
      <xdr:col>6</xdr:col>
      <xdr:colOff>76200</xdr:colOff>
      <xdr:row>19</xdr:row>
      <xdr:rowOff>152401</xdr:rowOff>
    </xdr:to>
    <xdr:sp macro="[0]!Ellipse1_Cliquer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24125" y="3333751"/>
          <a:ext cx="2124075" cy="4381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atin typeface="Algerian" panose="04020705040A02060702" pitchFamily="82" charset="0"/>
            </a:rPr>
            <a:t>BASE DE DONNEES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4</xdr:row>
      <xdr:rowOff>14286</xdr:rowOff>
    </xdr:from>
    <xdr:to>
      <xdr:col>3</xdr:col>
      <xdr:colOff>85725</xdr:colOff>
      <xdr:row>18</xdr:row>
      <xdr:rowOff>171449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352425</xdr:colOff>
      <xdr:row>4</xdr:row>
      <xdr:rowOff>14287</xdr:rowOff>
    </xdr:from>
    <xdr:to>
      <xdr:col>8</xdr:col>
      <xdr:colOff>333375</xdr:colOff>
      <xdr:row>19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285751</xdr:colOff>
      <xdr:row>4</xdr:row>
      <xdr:rowOff>4762</xdr:rowOff>
    </xdr:from>
    <xdr:to>
      <xdr:col>14</xdr:col>
      <xdr:colOff>419101</xdr:colOff>
      <xdr:row>19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752475</xdr:colOff>
      <xdr:row>4</xdr:row>
      <xdr:rowOff>14287</xdr:rowOff>
    </xdr:from>
    <xdr:to>
      <xdr:col>19</xdr:col>
      <xdr:colOff>228600</xdr:colOff>
      <xdr:row>18</xdr:row>
      <xdr:rowOff>180975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152400</xdr:colOff>
      <xdr:row>4</xdr:row>
      <xdr:rowOff>4761</xdr:rowOff>
    </xdr:from>
    <xdr:to>
      <xdr:col>26</xdr:col>
      <xdr:colOff>542925</xdr:colOff>
      <xdr:row>18</xdr:row>
      <xdr:rowOff>180974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20</xdr:row>
          <xdr:rowOff>0</xdr:rowOff>
        </xdr:from>
        <xdr:to>
          <xdr:col>5</xdr:col>
          <xdr:colOff>238125</xdr:colOff>
          <xdr:row>21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438150</xdr:colOff>
      <xdr:row>3</xdr:row>
      <xdr:rowOff>142875</xdr:rowOff>
    </xdr:from>
    <xdr:to>
      <xdr:col>25</xdr:col>
      <xdr:colOff>876300</xdr:colOff>
      <xdr:row>5</xdr:row>
      <xdr:rowOff>266700</xdr:rowOff>
    </xdr:to>
    <xdr:sp macro="" textlink="">
      <xdr:nvSpPr>
        <xdr:cNvPr id="3073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22</xdr:col>
      <xdr:colOff>581025</xdr:colOff>
      <xdr:row>6</xdr:row>
      <xdr:rowOff>142875</xdr:rowOff>
    </xdr:from>
    <xdr:to>
      <xdr:col>25</xdr:col>
      <xdr:colOff>933450</xdr:colOff>
      <xdr:row>8</xdr:row>
      <xdr:rowOff>142875</xdr:rowOff>
    </xdr:to>
    <xdr:sp macro="" textlink="">
      <xdr:nvSpPr>
        <xdr:cNvPr id="3074" name="CommandButton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22</xdr:col>
      <xdr:colOff>438150</xdr:colOff>
      <xdr:row>3</xdr:row>
      <xdr:rowOff>142875</xdr:rowOff>
    </xdr:from>
    <xdr:to>
      <xdr:col>25</xdr:col>
      <xdr:colOff>876300</xdr:colOff>
      <xdr:row>5</xdr:row>
      <xdr:rowOff>266700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22900" y="1285875"/>
          <a:ext cx="3381375" cy="885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581025</xdr:colOff>
      <xdr:row>6</xdr:row>
      <xdr:rowOff>142875</xdr:rowOff>
    </xdr:from>
    <xdr:to>
      <xdr:col>25</xdr:col>
      <xdr:colOff>933450</xdr:colOff>
      <xdr:row>8</xdr:row>
      <xdr:rowOff>142875</xdr:rowOff>
    </xdr:to>
    <xdr:pic>
      <xdr:nvPicPr>
        <xdr:cNvPr id="3" name="CommandButton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5775" y="2428875"/>
          <a:ext cx="329565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1057275</xdr:colOff>
      <xdr:row>7</xdr:row>
      <xdr:rowOff>9525</xdr:rowOff>
    </xdr:from>
    <xdr:to>
      <xdr:col>11</xdr:col>
      <xdr:colOff>695325</xdr:colOff>
      <xdr:row>9</xdr:row>
      <xdr:rowOff>0</xdr:rowOff>
    </xdr:to>
    <xdr:sp macro="" textlink="">
      <xdr:nvSpPr>
        <xdr:cNvPr id="12291" name="CommandButton1" hidden="1">
          <a:extLst>
            <a:ext uri="{63B3BB69-23CF-44E3-9099-C40C66FF867C}">
              <a14:compatExt xmlns:a14="http://schemas.microsoft.com/office/drawing/2010/main" spid="_x0000_s12291"/>
            </a:ext>
            <a:ext uri="{FF2B5EF4-FFF2-40B4-BE49-F238E27FC236}">
              <a16:creationId xmlns:a16="http://schemas.microsoft.com/office/drawing/2014/main" id="{00000000-0008-0000-0400-000003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5</xdr:col>
      <xdr:colOff>1047750</xdr:colOff>
      <xdr:row>9</xdr:row>
      <xdr:rowOff>180975</xdr:rowOff>
    </xdr:from>
    <xdr:to>
      <xdr:col>11</xdr:col>
      <xdr:colOff>685800</xdr:colOff>
      <xdr:row>11</xdr:row>
      <xdr:rowOff>180975</xdr:rowOff>
    </xdr:to>
    <xdr:sp macro="" textlink="">
      <xdr:nvSpPr>
        <xdr:cNvPr id="12293" name="CommandButton2" hidden="1">
          <a:extLst>
            <a:ext uri="{63B3BB69-23CF-44E3-9099-C40C66FF867C}">
              <a14:compatExt xmlns:a14="http://schemas.microsoft.com/office/drawing/2010/main" spid="_x0000_s12293"/>
            </a:ext>
            <a:ext uri="{FF2B5EF4-FFF2-40B4-BE49-F238E27FC236}">
              <a16:creationId xmlns:a16="http://schemas.microsoft.com/office/drawing/2014/main" id="{00000000-0008-0000-0400-000005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10</xdr:col>
      <xdr:colOff>0</xdr:colOff>
      <xdr:row>13</xdr:row>
      <xdr:rowOff>66675</xdr:rowOff>
    </xdr:from>
    <xdr:to>
      <xdr:col>11</xdr:col>
      <xdr:colOff>714375</xdr:colOff>
      <xdr:row>15</xdr:row>
      <xdr:rowOff>47625</xdr:rowOff>
    </xdr:to>
    <xdr:sp macro="" textlink="">
      <xdr:nvSpPr>
        <xdr:cNvPr id="12294" name="CommandButton3" hidden="1">
          <a:extLst>
            <a:ext uri="{63B3BB69-23CF-44E3-9099-C40C66FF867C}">
              <a14:compatExt xmlns:a14="http://schemas.microsoft.com/office/drawing/2010/main" spid="_x0000_s12294"/>
            </a:ext>
            <a:ext uri="{FF2B5EF4-FFF2-40B4-BE49-F238E27FC236}">
              <a16:creationId xmlns:a16="http://schemas.microsoft.com/office/drawing/2014/main" id="{00000000-0008-0000-0400-000006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5</xdr:col>
      <xdr:colOff>1047750</xdr:colOff>
      <xdr:row>9</xdr:row>
      <xdr:rowOff>180975</xdr:rowOff>
    </xdr:from>
    <xdr:to>
      <xdr:col>11</xdr:col>
      <xdr:colOff>685800</xdr:colOff>
      <xdr:row>11</xdr:row>
      <xdr:rowOff>180975</xdr:rowOff>
    </xdr:to>
    <xdr:pic macro="[0]!bulletindepaie_CommandButton2_Cliquer">
      <xdr:nvPicPr>
        <xdr:cNvPr id="3" name="CommandButton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8550" y="1895475"/>
          <a:ext cx="192405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10</xdr:col>
      <xdr:colOff>0</xdr:colOff>
      <xdr:row>13</xdr:row>
      <xdr:rowOff>66675</xdr:rowOff>
    </xdr:from>
    <xdr:to>
      <xdr:col>11</xdr:col>
      <xdr:colOff>714375</xdr:colOff>
      <xdr:row>15</xdr:row>
      <xdr:rowOff>47625</xdr:rowOff>
    </xdr:to>
    <xdr:pic macro="[0]!CommandButton3_Cliquer">
      <xdr:nvPicPr>
        <xdr:cNvPr id="4" name="CommandButton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2543175"/>
          <a:ext cx="1933575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257175</xdr:colOff>
      <xdr:row>3</xdr:row>
      <xdr:rowOff>0</xdr:rowOff>
    </xdr:from>
    <xdr:to>
      <xdr:col>14</xdr:col>
      <xdr:colOff>485775</xdr:colOff>
      <xdr:row>4</xdr:row>
      <xdr:rowOff>161925</xdr:rowOff>
    </xdr:to>
    <xdr:sp macro="" textlink="">
      <xdr:nvSpPr>
        <xdr:cNvPr id="21505" name="CommandButton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800-000001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285750</xdr:colOff>
      <xdr:row>5</xdr:row>
      <xdr:rowOff>76200</xdr:rowOff>
    </xdr:from>
    <xdr:to>
      <xdr:col>14</xdr:col>
      <xdr:colOff>476250</xdr:colOff>
      <xdr:row>7</xdr:row>
      <xdr:rowOff>9525</xdr:rowOff>
    </xdr:to>
    <xdr:sp macro="" textlink="">
      <xdr:nvSpPr>
        <xdr:cNvPr id="21506" name="CommandButton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800-000002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257175</xdr:colOff>
      <xdr:row>3</xdr:row>
      <xdr:rowOff>0</xdr:rowOff>
    </xdr:from>
    <xdr:to>
      <xdr:col>14</xdr:col>
      <xdr:colOff>485775</xdr:colOff>
      <xdr:row>4</xdr:row>
      <xdr:rowOff>161925</xdr:rowOff>
    </xdr:to>
    <xdr:pic macro="[0]!LIVRE_PAIE_CommandButton1_Cliquer">
      <xdr:nvPicPr>
        <xdr:cNvPr id="2" name="CommandButton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4225" y="571500"/>
          <a:ext cx="1752600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285750</xdr:colOff>
      <xdr:row>5</xdr:row>
      <xdr:rowOff>76200</xdr:rowOff>
    </xdr:from>
    <xdr:to>
      <xdr:col>14</xdr:col>
      <xdr:colOff>476250</xdr:colOff>
      <xdr:row>7</xdr:row>
      <xdr:rowOff>9525</xdr:rowOff>
    </xdr:to>
    <xdr:pic macro="[0]!CommandButton2_Cliquer">
      <xdr:nvPicPr>
        <xdr:cNvPr id="3" name="CommandButton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1028700"/>
          <a:ext cx="17145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7</xdr:row>
      <xdr:rowOff>9525</xdr:rowOff>
    </xdr:from>
    <xdr:to>
      <xdr:col>8</xdr:col>
      <xdr:colOff>400050</xdr:colOff>
      <xdr:row>8</xdr:row>
      <xdr:rowOff>123825</xdr:rowOff>
    </xdr:to>
    <xdr:sp macro="" textlink="">
      <xdr:nvSpPr>
        <xdr:cNvPr id="22529" name="CommandButton1" hidden="1">
          <a:extLst>
            <a:ext uri="{63B3BB69-23CF-44E3-9099-C40C66FF867C}">
              <a14:compatExt xmlns:a14="http://schemas.microsoft.com/office/drawing/2010/main" spid="_x0000_s22529"/>
            </a:ext>
            <a:ext uri="{FF2B5EF4-FFF2-40B4-BE49-F238E27FC236}">
              <a16:creationId xmlns:a16="http://schemas.microsoft.com/office/drawing/2014/main" id="{00000000-0008-0000-0900-0000015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7</xdr:row>
      <xdr:rowOff>9525</xdr:rowOff>
    </xdr:from>
    <xdr:to>
      <xdr:col>8</xdr:col>
      <xdr:colOff>400050</xdr:colOff>
      <xdr:row>8</xdr:row>
      <xdr:rowOff>123825</xdr:rowOff>
    </xdr:to>
    <xdr:pic macro="[0]!CommandButton1_Cliquer">
      <xdr:nvPicPr>
        <xdr:cNvPr id="2" name="CommandButton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438275"/>
          <a:ext cx="19050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82.638493402781" createdVersion="5" refreshedVersion="5" minRefreshableVersion="3" recordCount="50" xr:uid="{00000000-000A-0000-FFFF-FFFF00000000}">
  <cacheSource type="worksheet">
    <worksheetSource ref="A1:G51" sheet="VISUALISATION"/>
  </cacheSource>
  <cacheFields count="7">
    <cacheField name="Prenom" numFmtId="0">
      <sharedItems/>
    </cacheField>
    <cacheField name="Nom" numFmtId="0">
      <sharedItems/>
    </cacheField>
    <cacheField name="Date_Nais" numFmtId="0">
      <sharedItems containsDate="1" containsMixedTypes="1" minDate="1975-04-05T00:00:00" maxDate="1985-03-05T00:00:00"/>
    </cacheField>
    <cacheField name="AGE" numFmtId="0">
      <sharedItems count="12">
        <s v="36 ans"/>
        <s v="44 ans"/>
        <s v="37 ans"/>
        <s v="40 ans"/>
        <s v="38 ans"/>
        <s v="43 ans"/>
        <s v="42 ans"/>
        <s v="34 ans"/>
        <s v="35 ans"/>
        <s v="41 ans"/>
        <s v="45 ans"/>
        <s v="39 ans"/>
      </sharedItems>
    </cacheField>
    <cacheField name="SEXE" numFmtId="0">
      <sharedItems containsNonDate="0" containsString="0" containsBlank="1"/>
    </cacheField>
    <cacheField name="M" numFmtId="0">
      <sharedItems containsString="0" containsBlank="1" containsNumber="1" containsInteger="1" minValue="38" maxValue="38"/>
    </cacheField>
    <cacheField name="F" numFmtId="0">
      <sharedItems containsString="0" containsBlank="1" containsNumber="1" containsInteger="1" minValue="1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ADAMA"/>
    <s v="BA"/>
    <d v="1983-09-09T00:00:00"/>
    <x v="0"/>
    <m/>
    <n v="38"/>
    <n v="12"/>
  </r>
  <r>
    <s v="ALEX"/>
    <s v="BAMPASSY"/>
    <s v="26/10/1975"/>
    <x v="1"/>
    <m/>
    <m/>
    <m/>
  </r>
  <r>
    <s v="ALA"/>
    <s v="BEYE"/>
    <s v="17/10/1982"/>
    <x v="2"/>
    <m/>
    <m/>
    <m/>
  </r>
  <r>
    <s v="MEDOUNE"/>
    <s v="BOYE"/>
    <s v="22/02/1980"/>
    <x v="3"/>
    <m/>
    <m/>
    <m/>
  </r>
  <r>
    <s v="LAHAT"/>
    <s v="CISSE"/>
    <s v="17/04/1983"/>
    <x v="2"/>
    <m/>
    <m/>
    <m/>
  </r>
  <r>
    <s v="FARY"/>
    <s v="DEME"/>
    <d v="1979-10-10T00:00:00"/>
    <x v="3"/>
    <m/>
    <m/>
    <m/>
  </r>
  <r>
    <s v="MBOMBE"/>
    <s v="DIAGNE"/>
    <s v="31/01/1982"/>
    <x v="4"/>
    <m/>
    <m/>
    <m/>
  </r>
  <r>
    <s v="YACINE"/>
    <s v="DIALLO"/>
    <s v="17/10/1975"/>
    <x v="1"/>
    <m/>
    <m/>
    <m/>
  </r>
  <r>
    <s v="ALIOUNE NDIAYE"/>
    <s v="DIALLO"/>
    <d v="1980-02-09T00:00:00"/>
    <x v="3"/>
    <m/>
    <m/>
    <m/>
  </r>
  <r>
    <s v="KARIM ABDEL"/>
    <s v="DIAME"/>
    <d v="1976-08-05T00:00:00"/>
    <x v="5"/>
    <m/>
    <m/>
    <m/>
  </r>
  <r>
    <s v="AISSATOU SECK"/>
    <s v="DIAO"/>
    <s v="26/08/1977"/>
    <x v="6"/>
    <m/>
    <m/>
    <m/>
  </r>
  <r>
    <s v="LEON"/>
    <s v="DIATTA"/>
    <s v="19/07/1979"/>
    <x v="3"/>
    <m/>
    <m/>
    <m/>
  </r>
  <r>
    <s v="AWA"/>
    <s v="DIAW"/>
    <s v="30/09/1982"/>
    <x v="2"/>
    <m/>
    <m/>
    <m/>
  </r>
  <r>
    <s v="HABIB"/>
    <s v="DIOP"/>
    <s v="17/09/1985"/>
    <x v="7"/>
    <m/>
    <m/>
    <m/>
  </r>
  <r>
    <s v="BABACAR"/>
    <s v="DIOP"/>
    <s v="19/03/1984"/>
    <x v="0"/>
    <m/>
    <m/>
    <m/>
  </r>
  <r>
    <s v="MODOU"/>
    <s v="DIOUF"/>
    <s v="14/04/1978"/>
    <x v="6"/>
    <m/>
    <m/>
    <m/>
  </r>
  <r>
    <s v="HENRY"/>
    <s v="DIOUF"/>
    <s v="27/01/1977"/>
    <x v="5"/>
    <m/>
    <m/>
    <m/>
  </r>
  <r>
    <s v="ASSANE"/>
    <s v="DIOUM"/>
    <s v="16/05/1982"/>
    <x v="4"/>
    <m/>
    <m/>
    <m/>
  </r>
  <r>
    <s v="SENGANE"/>
    <s v="FALL"/>
    <s v="31/10/1984"/>
    <x v="8"/>
    <m/>
    <m/>
    <m/>
  </r>
  <r>
    <s v="LAMINE"/>
    <s v="FALL"/>
    <s v="28/11/1977"/>
    <x v="6"/>
    <m/>
    <m/>
    <m/>
  </r>
  <r>
    <s v="MOUHAMED"/>
    <s v="FAYE"/>
    <d v="1979-03-10T00:00:00"/>
    <x v="9"/>
    <m/>
    <m/>
    <m/>
  </r>
  <r>
    <s v="NDIAYA"/>
    <s v="FAYE"/>
    <d v="1982-11-08T00:00:00"/>
    <x v="2"/>
    <m/>
    <m/>
    <m/>
  </r>
  <r>
    <s v="DAME"/>
    <s v="GNING"/>
    <d v="1975-04-05T00:00:00"/>
    <x v="10"/>
    <m/>
    <m/>
    <m/>
  </r>
  <r>
    <s v="BOUBA"/>
    <s v="GUEYE"/>
    <s v="27/10/1979"/>
    <x v="3"/>
    <m/>
    <m/>
    <m/>
  </r>
  <r>
    <s v="KINE"/>
    <s v="GUEYE"/>
    <d v="1978-02-04T00:00:00"/>
    <x v="6"/>
    <m/>
    <m/>
    <m/>
  </r>
  <r>
    <s v="MADIOP"/>
    <s v="KANDJI"/>
    <s v="27/07/1985"/>
    <x v="7"/>
    <m/>
    <m/>
    <m/>
  </r>
  <r>
    <s v="MODOU"/>
    <s v="KARE"/>
    <s v="18/11/1985"/>
    <x v="7"/>
    <m/>
    <m/>
    <m/>
  </r>
  <r>
    <s v="THOMAS"/>
    <s v="KEBE"/>
    <d v="1981-11-11T00:00:00"/>
    <x v="4"/>
    <m/>
    <m/>
    <m/>
  </r>
  <r>
    <s v="AMY"/>
    <s v="LAM"/>
    <d v="1985-02-05T00:00:00"/>
    <x v="8"/>
    <m/>
    <m/>
    <m/>
  </r>
  <r>
    <s v="MOUSTAPHA DIOP"/>
    <s v="LO"/>
    <s v="21/12/1978"/>
    <x v="9"/>
    <m/>
    <m/>
    <m/>
  </r>
  <r>
    <s v="ABDOULAYE MASSECK"/>
    <s v="LY"/>
    <s v="28/11/1977"/>
    <x v="6"/>
    <m/>
    <m/>
    <m/>
  </r>
  <r>
    <s v="ABDOU"/>
    <s v="MBAYE"/>
    <d v="1985-03-04T00:00:00"/>
    <x v="8"/>
    <m/>
    <m/>
    <m/>
  </r>
  <r>
    <s v="KARIM"/>
    <s v="MBENGUE"/>
    <d v="1977-09-09T00:00:00"/>
    <x v="6"/>
    <m/>
    <m/>
    <m/>
  </r>
  <r>
    <s v="FATIM"/>
    <s v="NDIAYE"/>
    <d v="1975-10-05T00:00:00"/>
    <x v="1"/>
    <m/>
    <m/>
    <m/>
  </r>
  <r>
    <s v="YOUSSOU"/>
    <s v="NGOM"/>
    <s v="16/08/1982"/>
    <x v="2"/>
    <m/>
    <m/>
    <m/>
  </r>
  <r>
    <s v="FRANCOIS"/>
    <s v="PREIRA"/>
    <s v="20/06/1977"/>
    <x v="6"/>
    <m/>
    <m/>
    <m/>
  </r>
  <r>
    <s v="MBAYE"/>
    <s v="SAGNA"/>
    <d v="1978-01-11T00:00:00"/>
    <x v="6"/>
    <m/>
    <m/>
    <m/>
  </r>
  <r>
    <s v="FREDERIC"/>
    <s v="SAGNA"/>
    <s v="24/03/1976"/>
    <x v="1"/>
    <m/>
    <m/>
    <m/>
  </r>
  <r>
    <s v="ALIMATOU"/>
    <s v="SAMB"/>
    <s v="19/10/1976"/>
    <x v="5"/>
    <m/>
    <m/>
    <m/>
  </r>
  <r>
    <s v="DIARRY"/>
    <s v="SAMB"/>
    <s v="16/05/1981"/>
    <x v="11"/>
    <m/>
    <m/>
    <m/>
  </r>
  <r>
    <s v="OMAR"/>
    <s v="SARR"/>
    <s v="29/08/1977"/>
    <x v="6"/>
    <m/>
    <m/>
    <m/>
  </r>
  <r>
    <s v="MAURY"/>
    <s v="SECK"/>
    <s v="19/04/1977"/>
    <x v="5"/>
    <m/>
    <m/>
    <m/>
  </r>
  <r>
    <s v="IBRAHIMA"/>
    <s v="SENE"/>
    <s v="18/06/1979"/>
    <x v="3"/>
    <m/>
    <m/>
    <m/>
  </r>
  <r>
    <s v="MOUSSA"/>
    <s v="SEYDY"/>
    <d v="1976-08-02T00:00:00"/>
    <x v="5"/>
    <m/>
    <m/>
    <m/>
  </r>
  <r>
    <s v="KHADY"/>
    <s v="SOW"/>
    <s v="23/03/1984"/>
    <x v="0"/>
    <m/>
    <m/>
    <m/>
  </r>
  <r>
    <s v="ALPHA"/>
    <s v="SY"/>
    <s v="29/11/1984"/>
    <x v="8"/>
    <m/>
    <m/>
    <m/>
  </r>
  <r>
    <s v="MOUSTAPHA"/>
    <s v="TALL"/>
    <s v="19/07/1976"/>
    <x v="5"/>
    <m/>
    <m/>
    <m/>
  </r>
  <r>
    <s v="NDEYE"/>
    <s v="TALL"/>
    <s v="29/07/1985"/>
    <x v="7"/>
    <m/>
    <m/>
    <m/>
  </r>
  <r>
    <s v="PHILIPPE MODOU"/>
    <s v="TAVARESE"/>
    <s v="23/04/1985"/>
    <x v="8"/>
    <m/>
    <m/>
    <m/>
  </r>
  <r>
    <s v="KHADIM"/>
    <s v="THIAM"/>
    <s v="21/12/1981"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5" cacheId="0" applyNumberFormats="0" applyBorderFormats="0" applyFontFormats="0" applyPatternFormats="0" applyAlignmentFormats="0" applyWidthHeightFormats="1" dataCaption="Valeurs" updatedVersion="5" minRefreshableVersion="3" useAutoFormatting="1" rowGrandTotals="0" colGrandTotals="0" itemPrintTitles="1" createdVersion="5" indent="0" compact="0" compactData="0" multipleFieldFilters="0" chartFormat="15">
  <location ref="V1:W13" firstHeaderRow="1" firstDataRow="1" firstDataCol="1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2">
        <item x="7"/>
        <item x="8"/>
        <item x="0"/>
        <item x="2"/>
        <item x="4"/>
        <item x="11"/>
        <item x="3"/>
        <item x="9"/>
        <item x="6"/>
        <item x="5"/>
        <item x="1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Nombre de AGE" fld="3" subtotal="count" baseField="0" baseItem="0"/>
  </dataFields>
  <formats count="4">
    <format dxfId="12">
      <pivotArea outline="0" collapsedLevelsAreSubtotals="1" fieldPosition="0"/>
    </format>
    <format dxfId="11">
      <pivotArea dataOnly="0" labelOnly="1" outline="0" fieldPosition="0">
        <references count="1">
          <reference field="3" count="0"/>
        </references>
      </pivotArea>
    </format>
    <format dxfId="10">
      <pivotArea field="3" type="button" dataOnly="0" labelOnly="1" outline="0" axis="axisRow" fieldPosition="0"/>
    </format>
    <format dxfId="9">
      <pivotArea dataOnly="0" labelOnly="1" outline="0" axis="axisValues" fieldPosition="0"/>
    </format>
  </formats>
  <chartFormats count="1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Personnalisé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2.xml" /><Relationship Id="rId1" Type="http://schemas.openxmlformats.org/officeDocument/2006/relationships/pivotTable" Target="../pivotTables/pivotTable1.xml" /><Relationship Id="rId5" Type="http://schemas.openxmlformats.org/officeDocument/2006/relationships/image" Target="../media/image2.emf" /><Relationship Id="rId4" Type="http://schemas.openxmlformats.org/officeDocument/2006/relationships/control" Target="../activeX/activeX1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 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 /><Relationship Id="rId1" Type="http://schemas.openxmlformats.org/officeDocument/2006/relationships/printerSettings" Target="../printerSettings/printerSettings1.bin" 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 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6"/>
  <dimension ref="A1"/>
  <sheetViews>
    <sheetView tabSelected="1" topLeftCell="C1" workbookViewId="0">
      <selection activeCell="C24" sqref="C24"/>
    </sheetView>
  </sheetViews>
  <sheetFormatPr defaultColWidth="10.7617187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1"/>
  <dimension ref="A1:AA18"/>
  <sheetViews>
    <sheetView topLeftCell="A10" workbookViewId="0">
      <selection activeCell="E24" sqref="E24"/>
    </sheetView>
  </sheetViews>
  <sheetFormatPr defaultColWidth="11.43359375" defaultRowHeight="15" x14ac:dyDescent="0.2"/>
  <cols>
    <col min="1" max="6" width="11.43359375" style="3"/>
    <col min="7" max="7" width="13.98828125" style="3" customWidth="1"/>
    <col min="8" max="22" width="11.43359375" style="3"/>
    <col min="23" max="23" width="15.33203125" style="3" customWidth="1"/>
    <col min="24" max="16384" width="11.43359375" style="3"/>
  </cols>
  <sheetData>
    <row r="1" spans="1:27" x14ac:dyDescent="0.2">
      <c r="A1" s="70" t="s">
        <v>340</v>
      </c>
      <c r="B1" s="70"/>
      <c r="C1" s="70"/>
      <c r="D1" s="71"/>
      <c r="E1" s="72"/>
      <c r="F1" s="73"/>
      <c r="G1" s="74" t="s">
        <v>341</v>
      </c>
      <c r="H1" s="75"/>
      <c r="I1" s="75"/>
      <c r="J1" s="75"/>
      <c r="M1" s="76" t="s">
        <v>342</v>
      </c>
      <c r="N1" s="76"/>
      <c r="O1" s="76"/>
      <c r="R1" s="77" t="s">
        <v>346</v>
      </c>
      <c r="S1" s="78"/>
      <c r="V1" s="69" t="s">
        <v>310</v>
      </c>
      <c r="W1" s="69" t="s">
        <v>311</v>
      </c>
      <c r="X1"/>
      <c r="Y1"/>
      <c r="Z1"/>
      <c r="AA1"/>
    </row>
    <row r="2" spans="1:27" x14ac:dyDescent="0.2">
      <c r="A2" s="1" t="s">
        <v>25</v>
      </c>
      <c r="B2" s="66">
        <f>COUNTIF(EMPLOYES!G2:G51,"M")</f>
        <v>38</v>
      </c>
      <c r="G2" s="1" t="s">
        <v>343</v>
      </c>
      <c r="H2" s="1">
        <f>COUNTIF(EMPLOYES!H2:H51,"A")</f>
        <v>11</v>
      </c>
      <c r="M2" s="1" t="s">
        <v>27</v>
      </c>
      <c r="N2" s="1">
        <f>COUNTIF(EMPLOYES!I2:L51,"Marié")</f>
        <v>30</v>
      </c>
      <c r="R2" s="1" t="s">
        <v>32</v>
      </c>
      <c r="S2" s="1">
        <f>+COUNTIF(BASE_DONNEES!V2:V51,"&lt;360000")</f>
        <v>19</v>
      </c>
      <c r="V2" s="1" t="s">
        <v>312</v>
      </c>
      <c r="W2" s="68">
        <v>4</v>
      </c>
      <c r="X2"/>
      <c r="Y2"/>
      <c r="Z2"/>
      <c r="AA2"/>
    </row>
    <row r="3" spans="1:27" x14ac:dyDescent="0.2">
      <c r="A3" s="1" t="s">
        <v>26</v>
      </c>
      <c r="B3" s="67">
        <f>COUNTIF(EMPLOYES!G2:G51,"f")</f>
        <v>12</v>
      </c>
      <c r="G3" s="1" t="s">
        <v>344</v>
      </c>
      <c r="H3" s="1">
        <f>COUNTIF(EMPLOYES!H2:H51,"B")</f>
        <v>22</v>
      </c>
      <c r="M3" s="1" t="s">
        <v>28</v>
      </c>
      <c r="N3" s="1">
        <f>COUNTIF(EMPLOYES!I2:L51,"Célibataire")</f>
        <v>20</v>
      </c>
      <c r="R3" s="1" t="s">
        <v>33</v>
      </c>
      <c r="S3" s="1">
        <f>+COUNTIF(BASE_DONNEES!V2:V52,"&gt;360000")</f>
        <v>31</v>
      </c>
      <c r="V3" s="1" t="s">
        <v>313</v>
      </c>
      <c r="W3" s="68">
        <v>5</v>
      </c>
      <c r="X3"/>
      <c r="Y3"/>
      <c r="Z3"/>
      <c r="AA3"/>
    </row>
    <row r="4" spans="1:27" x14ac:dyDescent="0.2">
      <c r="G4" s="1" t="s">
        <v>345</v>
      </c>
      <c r="H4" s="1">
        <f>COUNTIF(EMPLOYES!H2:H51,"C")</f>
        <v>17</v>
      </c>
      <c r="V4" s="1" t="s">
        <v>314</v>
      </c>
      <c r="W4" s="68">
        <v>3</v>
      </c>
      <c r="X4"/>
      <c r="Y4"/>
      <c r="Z4"/>
      <c r="AA4"/>
    </row>
    <row r="5" spans="1:27" x14ac:dyDescent="0.2">
      <c r="V5" s="1" t="s">
        <v>315</v>
      </c>
      <c r="W5" s="68">
        <v>5</v>
      </c>
      <c r="X5"/>
      <c r="Y5"/>
      <c r="Z5"/>
      <c r="AA5"/>
    </row>
    <row r="6" spans="1:27" x14ac:dyDescent="0.2">
      <c r="V6" s="1" t="s">
        <v>316</v>
      </c>
      <c r="W6" s="68">
        <v>4</v>
      </c>
      <c r="X6"/>
      <c r="Y6"/>
      <c r="Z6"/>
      <c r="AA6"/>
    </row>
    <row r="7" spans="1:27" x14ac:dyDescent="0.2">
      <c r="V7" s="1" t="s">
        <v>317</v>
      </c>
      <c r="W7" s="68">
        <v>1</v>
      </c>
      <c r="X7"/>
      <c r="Y7"/>
      <c r="Z7"/>
      <c r="AA7"/>
    </row>
    <row r="8" spans="1:27" x14ac:dyDescent="0.2">
      <c r="V8" s="1" t="s">
        <v>318</v>
      </c>
      <c r="W8" s="68">
        <v>6</v>
      </c>
      <c r="X8"/>
      <c r="Y8"/>
      <c r="Z8"/>
      <c r="AA8"/>
    </row>
    <row r="9" spans="1:27" x14ac:dyDescent="0.2">
      <c r="V9" s="1" t="s">
        <v>319</v>
      </c>
      <c r="W9" s="68">
        <v>2</v>
      </c>
      <c r="X9"/>
      <c r="Y9"/>
      <c r="Z9"/>
      <c r="AA9"/>
    </row>
    <row r="10" spans="1:27" x14ac:dyDescent="0.2">
      <c r="V10" s="1" t="s">
        <v>320</v>
      </c>
      <c r="W10" s="68">
        <v>9</v>
      </c>
      <c r="X10"/>
      <c r="Y10"/>
      <c r="Z10"/>
      <c r="AA10"/>
    </row>
    <row r="11" spans="1:27" x14ac:dyDescent="0.2">
      <c r="V11" s="1" t="s">
        <v>321</v>
      </c>
      <c r="W11" s="68">
        <v>6</v>
      </c>
      <c r="X11"/>
      <c r="Y11"/>
      <c r="Z11"/>
      <c r="AA11"/>
    </row>
    <row r="12" spans="1:27" x14ac:dyDescent="0.2">
      <c r="V12" s="1" t="s">
        <v>322</v>
      </c>
      <c r="W12" s="68">
        <v>4</v>
      </c>
      <c r="X12"/>
      <c r="Y12"/>
      <c r="Z12"/>
      <c r="AA12"/>
    </row>
    <row r="13" spans="1:27" x14ac:dyDescent="0.2">
      <c r="V13" s="1" t="s">
        <v>323</v>
      </c>
      <c r="W13" s="68">
        <v>1</v>
      </c>
      <c r="X13"/>
      <c r="Y13"/>
      <c r="Z13"/>
      <c r="AA13"/>
    </row>
    <row r="14" spans="1:27" x14ac:dyDescent="0.2">
      <c r="V14"/>
      <c r="W14"/>
      <c r="X14"/>
      <c r="Y14"/>
      <c r="Z14"/>
      <c r="AA14"/>
    </row>
    <row r="15" spans="1:27" x14ac:dyDescent="0.2">
      <c r="V15"/>
      <c r="W15"/>
      <c r="X15"/>
      <c r="Y15"/>
      <c r="Z15"/>
      <c r="AA15"/>
    </row>
    <row r="16" spans="1:27" x14ac:dyDescent="0.2">
      <c r="V16"/>
      <c r="W16"/>
      <c r="X16"/>
      <c r="Y16"/>
      <c r="Z16"/>
      <c r="AA16"/>
    </row>
    <row r="17" spans="22:27" x14ac:dyDescent="0.2">
      <c r="V17"/>
      <c r="W17"/>
      <c r="X17"/>
      <c r="Y17"/>
      <c r="Z17"/>
      <c r="AA17"/>
    </row>
    <row r="18" spans="22:27" x14ac:dyDescent="0.2">
      <c r="V18"/>
      <c r="W18"/>
      <c r="X18"/>
      <c r="Y18"/>
      <c r="Z18"/>
      <c r="AA18"/>
    </row>
  </sheetData>
  <mergeCells count="5">
    <mergeCell ref="A1:C1"/>
    <mergeCell ref="D1:F1"/>
    <mergeCell ref="G1:J1"/>
    <mergeCell ref="M1:O1"/>
    <mergeCell ref="R1:S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504825</xdr:colOff>
                <xdr:row>20</xdr:row>
                <xdr:rowOff>0</xdr:rowOff>
              </from>
              <to>
                <xdr:col>5</xdr:col>
                <xdr:colOff>238125</xdr:colOff>
                <xdr:row>21</xdr:row>
                <xdr:rowOff>133350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theme="6"/>
  </sheetPr>
  <dimension ref="A1:AG51"/>
  <sheetViews>
    <sheetView topLeftCell="A28" zoomScale="46" zoomScaleNormal="46" workbookViewId="0">
      <selection sqref="A1:A1048576"/>
    </sheetView>
  </sheetViews>
  <sheetFormatPr defaultColWidth="14.66015625" defaultRowHeight="21" x14ac:dyDescent="0.3"/>
  <cols>
    <col min="1" max="4" width="20.71484375" style="20" customWidth="1"/>
    <col min="5" max="5" width="20.71484375" style="24" customWidth="1"/>
    <col min="6" max="7" width="20.71484375" style="20" customWidth="1"/>
    <col min="8" max="8" width="20.71484375" style="45" customWidth="1"/>
    <col min="9" max="22" width="20.71484375" style="20" customWidth="1"/>
    <col min="23" max="16384" width="14.66015625" style="20"/>
  </cols>
  <sheetData>
    <row r="1" spans="1:33" s="51" customFormat="1" ht="30" customHeight="1" x14ac:dyDescent="0.35">
      <c r="A1" s="46" t="s">
        <v>18</v>
      </c>
      <c r="B1" s="46" t="s">
        <v>0</v>
      </c>
      <c r="C1" s="46" t="s">
        <v>2</v>
      </c>
      <c r="D1" s="46" t="s">
        <v>1</v>
      </c>
      <c r="E1" s="47" t="s">
        <v>22</v>
      </c>
      <c r="F1" s="46" t="s">
        <v>23</v>
      </c>
      <c r="G1" s="46" t="s">
        <v>3</v>
      </c>
      <c r="H1" s="48" t="s">
        <v>4</v>
      </c>
      <c r="I1" s="46" t="s">
        <v>24</v>
      </c>
      <c r="J1" s="46" t="s">
        <v>5</v>
      </c>
      <c r="K1" s="46" t="s">
        <v>6</v>
      </c>
      <c r="L1" s="46" t="s">
        <v>7</v>
      </c>
      <c r="M1" s="46" t="s">
        <v>10</v>
      </c>
      <c r="N1" s="46" t="s">
        <v>11</v>
      </c>
      <c r="O1" s="46" t="s">
        <v>8</v>
      </c>
      <c r="P1" s="46" t="s">
        <v>9</v>
      </c>
      <c r="Q1" s="46" t="s">
        <v>12</v>
      </c>
      <c r="R1" s="46" t="s">
        <v>13</v>
      </c>
      <c r="S1" s="46" t="s">
        <v>14</v>
      </c>
      <c r="T1" s="46" t="s">
        <v>15</v>
      </c>
      <c r="U1" s="46" t="s">
        <v>16</v>
      </c>
      <c r="V1" s="46" t="s">
        <v>17</v>
      </c>
      <c r="W1" s="49"/>
      <c r="X1" s="49"/>
      <c r="Y1" s="49"/>
      <c r="Z1" s="49"/>
      <c r="AA1" s="49"/>
      <c r="AB1" s="49"/>
      <c r="AC1" s="49"/>
      <c r="AD1" s="49"/>
      <c r="AE1" s="49"/>
      <c r="AF1" s="49"/>
      <c r="AG1" s="50"/>
    </row>
    <row r="2" spans="1:33" s="19" customFormat="1" ht="30" customHeight="1" x14ac:dyDescent="0.3">
      <c r="A2" s="21">
        <v>1</v>
      </c>
      <c r="B2" s="21" t="s">
        <v>90</v>
      </c>
      <c r="C2" s="21" t="s">
        <v>91</v>
      </c>
      <c r="D2" s="21" t="s">
        <v>92</v>
      </c>
      <c r="E2" s="22">
        <v>30568</v>
      </c>
      <c r="F2" s="21" t="s">
        <v>93</v>
      </c>
      <c r="G2" s="21" t="s">
        <v>25</v>
      </c>
      <c r="H2" s="44" t="s">
        <v>20</v>
      </c>
      <c r="I2" s="21" t="s">
        <v>27</v>
      </c>
      <c r="J2" s="21">
        <v>1</v>
      </c>
      <c r="K2" s="21">
        <v>3</v>
      </c>
      <c r="L2" s="21"/>
      <c r="M2" s="21"/>
      <c r="N2" s="21"/>
      <c r="O2" s="21"/>
      <c r="P2" s="21">
        <v>4</v>
      </c>
      <c r="Q2" s="21"/>
      <c r="R2" s="21"/>
      <c r="S2" s="21">
        <v>17500</v>
      </c>
      <c r="T2" s="21">
        <v>4500</v>
      </c>
      <c r="U2" s="21">
        <v>25000</v>
      </c>
      <c r="V2" s="21"/>
      <c r="W2" s="20"/>
      <c r="X2" s="20"/>
      <c r="Y2" s="20"/>
      <c r="Z2" s="20"/>
      <c r="AA2" s="20"/>
      <c r="AB2" s="20"/>
      <c r="AC2" s="20"/>
      <c r="AD2" s="20"/>
      <c r="AE2" s="20"/>
      <c r="AF2" s="20"/>
    </row>
    <row r="3" spans="1:33" s="19" customFormat="1" ht="30" customHeight="1" x14ac:dyDescent="0.3">
      <c r="A3" s="21">
        <v>2</v>
      </c>
      <c r="B3" s="21" t="s">
        <v>94</v>
      </c>
      <c r="C3" s="21" t="s">
        <v>95</v>
      </c>
      <c r="D3" s="21" t="s">
        <v>96</v>
      </c>
      <c r="E3" s="23" t="s">
        <v>97</v>
      </c>
      <c r="F3" s="21" t="s">
        <v>98</v>
      </c>
      <c r="G3" s="21" t="s">
        <v>25</v>
      </c>
      <c r="H3" s="44" t="s">
        <v>20</v>
      </c>
      <c r="I3" s="21" t="s">
        <v>28</v>
      </c>
      <c r="J3" s="21">
        <v>0</v>
      </c>
      <c r="K3" s="21">
        <v>0</v>
      </c>
      <c r="L3" s="21"/>
      <c r="M3" s="21">
        <v>8</v>
      </c>
      <c r="N3" s="21">
        <v>4</v>
      </c>
      <c r="O3" s="21"/>
      <c r="P3" s="21">
        <v>3</v>
      </c>
      <c r="Q3" s="21">
        <v>15000</v>
      </c>
      <c r="R3" s="21"/>
      <c r="S3" s="21">
        <v>12500</v>
      </c>
      <c r="T3" s="21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</row>
    <row r="4" spans="1:33" s="19" customFormat="1" ht="30" customHeight="1" x14ac:dyDescent="0.3">
      <c r="A4" s="21">
        <v>3</v>
      </c>
      <c r="B4" s="21" t="s">
        <v>99</v>
      </c>
      <c r="C4" s="21" t="s">
        <v>100</v>
      </c>
      <c r="D4" s="21" t="s">
        <v>101</v>
      </c>
      <c r="E4" s="23" t="s">
        <v>102</v>
      </c>
      <c r="F4" s="21" t="s">
        <v>103</v>
      </c>
      <c r="G4" s="21" t="s">
        <v>25</v>
      </c>
      <c r="H4" s="44" t="s">
        <v>20</v>
      </c>
      <c r="I4" s="21" t="s">
        <v>27</v>
      </c>
      <c r="J4" s="21">
        <v>2</v>
      </c>
      <c r="K4" s="21">
        <v>6</v>
      </c>
      <c r="L4" s="21"/>
      <c r="M4" s="21"/>
      <c r="N4" s="21"/>
      <c r="O4" s="21">
        <v>6</v>
      </c>
      <c r="P4" s="21">
        <v>2</v>
      </c>
      <c r="Q4" s="21"/>
      <c r="R4" s="21"/>
      <c r="S4" s="21">
        <v>20000</v>
      </c>
      <c r="T4" s="21">
        <v>5000</v>
      </c>
      <c r="U4" s="21"/>
      <c r="V4" s="21"/>
      <c r="W4" s="20"/>
      <c r="X4" s="20"/>
      <c r="Y4" s="20"/>
      <c r="Z4" s="20"/>
      <c r="AA4" s="20"/>
      <c r="AB4" s="20"/>
      <c r="AC4" s="20"/>
      <c r="AD4" s="20"/>
      <c r="AE4" s="20"/>
      <c r="AF4" s="20"/>
    </row>
    <row r="5" spans="1:33" s="19" customFormat="1" ht="30" customHeight="1" x14ac:dyDescent="0.3">
      <c r="A5" s="21">
        <v>4</v>
      </c>
      <c r="B5" s="21" t="s">
        <v>104</v>
      </c>
      <c r="C5" s="21" t="s">
        <v>105</v>
      </c>
      <c r="D5" s="21" t="s">
        <v>106</v>
      </c>
      <c r="E5" s="23" t="s">
        <v>107</v>
      </c>
      <c r="F5" s="21" t="s">
        <v>108</v>
      </c>
      <c r="G5" s="21" t="s">
        <v>25</v>
      </c>
      <c r="H5" s="44" t="s">
        <v>21</v>
      </c>
      <c r="I5" s="21" t="s">
        <v>27</v>
      </c>
      <c r="J5" s="21">
        <v>1</v>
      </c>
      <c r="K5" s="21">
        <v>1</v>
      </c>
      <c r="L5" s="21"/>
      <c r="M5" s="21">
        <v>8</v>
      </c>
      <c r="N5" s="21">
        <v>4</v>
      </c>
      <c r="O5" s="21"/>
      <c r="P5" s="21"/>
      <c r="Q5" s="21">
        <v>10000</v>
      </c>
      <c r="R5" s="21"/>
      <c r="S5" s="21"/>
      <c r="T5" s="21"/>
      <c r="U5" s="21"/>
      <c r="V5" s="21"/>
      <c r="W5" s="20"/>
      <c r="X5" s="20"/>
      <c r="Y5" s="20"/>
      <c r="Z5" s="20"/>
      <c r="AA5" s="20"/>
      <c r="AB5" s="20"/>
      <c r="AC5" s="20"/>
      <c r="AD5" s="20"/>
      <c r="AE5" s="20"/>
      <c r="AF5" s="20"/>
    </row>
    <row r="6" spans="1:33" s="19" customFormat="1" ht="30" customHeight="1" x14ac:dyDescent="0.3">
      <c r="A6" s="21">
        <v>5</v>
      </c>
      <c r="B6" s="21" t="s">
        <v>109</v>
      </c>
      <c r="C6" s="21" t="s">
        <v>110</v>
      </c>
      <c r="D6" s="21" t="s">
        <v>111</v>
      </c>
      <c r="E6" s="23" t="s">
        <v>112</v>
      </c>
      <c r="F6" s="21" t="s">
        <v>113</v>
      </c>
      <c r="G6" s="21" t="s">
        <v>25</v>
      </c>
      <c r="H6" s="44" t="s">
        <v>21</v>
      </c>
      <c r="I6" s="21" t="s">
        <v>28</v>
      </c>
      <c r="J6" s="21">
        <v>0</v>
      </c>
      <c r="K6" s="21">
        <v>1</v>
      </c>
      <c r="L6" s="21">
        <v>15000</v>
      </c>
      <c r="M6" s="21">
        <v>8</v>
      </c>
      <c r="N6" s="21">
        <v>4</v>
      </c>
      <c r="O6" s="21">
        <v>4</v>
      </c>
      <c r="P6" s="21">
        <v>2</v>
      </c>
      <c r="Q6" s="21"/>
      <c r="R6" s="21">
        <v>35000</v>
      </c>
      <c r="S6" s="21"/>
      <c r="T6" s="21">
        <v>3500</v>
      </c>
      <c r="U6" s="21">
        <v>30000</v>
      </c>
      <c r="V6" s="21">
        <v>20000</v>
      </c>
      <c r="W6" s="20"/>
      <c r="X6" s="20"/>
      <c r="Y6" s="20"/>
      <c r="Z6" s="20"/>
      <c r="AA6" s="20"/>
      <c r="AB6" s="20"/>
      <c r="AC6" s="20"/>
      <c r="AD6" s="20"/>
      <c r="AE6" s="20"/>
      <c r="AF6" s="20"/>
    </row>
    <row r="7" spans="1:33" s="19" customFormat="1" ht="30" customHeight="1" x14ac:dyDescent="0.3">
      <c r="A7" s="21">
        <v>6</v>
      </c>
      <c r="B7" s="21" t="s">
        <v>114</v>
      </c>
      <c r="C7" s="21" t="s">
        <v>115</v>
      </c>
      <c r="D7" s="21" t="s">
        <v>116</v>
      </c>
      <c r="E7" s="22">
        <v>29138</v>
      </c>
      <c r="F7" s="21" t="s">
        <v>117</v>
      </c>
      <c r="G7" s="21" t="s">
        <v>25</v>
      </c>
      <c r="H7" s="44" t="s">
        <v>21</v>
      </c>
      <c r="I7" s="21" t="s">
        <v>28</v>
      </c>
      <c r="J7" s="21">
        <v>0</v>
      </c>
      <c r="K7" s="21">
        <v>0</v>
      </c>
      <c r="L7" s="21"/>
      <c r="M7" s="21"/>
      <c r="N7" s="21"/>
      <c r="O7" s="21"/>
      <c r="P7" s="21"/>
      <c r="Q7" s="21"/>
      <c r="R7" s="21"/>
      <c r="S7" s="21"/>
      <c r="T7" s="21">
        <v>2500</v>
      </c>
      <c r="U7" s="21"/>
      <c r="V7" s="21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1:33" s="19" customFormat="1" ht="30" customHeight="1" x14ac:dyDescent="0.3">
      <c r="A8" s="21">
        <v>7</v>
      </c>
      <c r="B8" s="21" t="s">
        <v>118</v>
      </c>
      <c r="C8" s="21" t="s">
        <v>119</v>
      </c>
      <c r="D8" s="21" t="s">
        <v>120</v>
      </c>
      <c r="E8" s="23" t="s">
        <v>121</v>
      </c>
      <c r="F8" s="21" t="s">
        <v>122</v>
      </c>
      <c r="G8" s="21" t="s">
        <v>26</v>
      </c>
      <c r="H8" s="44" t="s">
        <v>19</v>
      </c>
      <c r="I8" s="21" t="s">
        <v>27</v>
      </c>
      <c r="J8" s="21">
        <v>0</v>
      </c>
      <c r="K8" s="21">
        <v>4</v>
      </c>
      <c r="L8" s="21"/>
      <c r="M8" s="21"/>
      <c r="N8" s="21"/>
      <c r="O8" s="21"/>
      <c r="P8" s="21"/>
      <c r="Q8" s="21">
        <v>10000</v>
      </c>
      <c r="R8" s="21">
        <v>60000</v>
      </c>
      <c r="S8" s="21"/>
      <c r="T8" s="21"/>
      <c r="U8" s="21"/>
      <c r="V8" s="21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3" s="19" customFormat="1" ht="30" customHeight="1" x14ac:dyDescent="0.3">
      <c r="A9" s="21">
        <v>8</v>
      </c>
      <c r="B9" s="21" t="s">
        <v>123</v>
      </c>
      <c r="C9" s="21" t="s">
        <v>124</v>
      </c>
      <c r="D9" s="21" t="s">
        <v>125</v>
      </c>
      <c r="E9" s="23" t="s">
        <v>126</v>
      </c>
      <c r="F9" s="21" t="s">
        <v>93</v>
      </c>
      <c r="G9" s="21" t="s">
        <v>26</v>
      </c>
      <c r="H9" s="44" t="s">
        <v>19</v>
      </c>
      <c r="I9" s="21" t="s">
        <v>28</v>
      </c>
      <c r="J9" s="21">
        <v>0</v>
      </c>
      <c r="K9" s="21">
        <v>0</v>
      </c>
      <c r="L9" s="21"/>
      <c r="M9" s="21"/>
      <c r="N9" s="21"/>
      <c r="O9" s="21"/>
      <c r="P9" s="21"/>
      <c r="Q9" s="21"/>
      <c r="R9" s="21"/>
      <c r="S9" s="21"/>
      <c r="T9" s="21">
        <v>3000</v>
      </c>
      <c r="U9" s="21"/>
      <c r="V9" s="21"/>
      <c r="W9" s="20"/>
      <c r="X9" s="20"/>
      <c r="Y9" s="20"/>
      <c r="Z9" s="20"/>
      <c r="AA9" s="20"/>
      <c r="AB9" s="20"/>
      <c r="AC9" s="20"/>
      <c r="AD9" s="20"/>
      <c r="AE9" s="20"/>
    </row>
    <row r="10" spans="1:33" s="19" customFormat="1" ht="30" customHeight="1" x14ac:dyDescent="0.3">
      <c r="A10" s="21">
        <v>9</v>
      </c>
      <c r="B10" s="21" t="s">
        <v>127</v>
      </c>
      <c r="C10" s="21" t="s">
        <v>128</v>
      </c>
      <c r="D10" s="21" t="s">
        <v>125</v>
      </c>
      <c r="E10" s="22">
        <v>29260</v>
      </c>
      <c r="F10" s="21" t="s">
        <v>122</v>
      </c>
      <c r="G10" s="21" t="s">
        <v>25</v>
      </c>
      <c r="H10" s="44" t="s">
        <v>19</v>
      </c>
      <c r="I10" s="21" t="s">
        <v>27</v>
      </c>
      <c r="J10" s="21">
        <v>3</v>
      </c>
      <c r="K10" s="21">
        <v>8</v>
      </c>
      <c r="L10" s="21"/>
      <c r="M10" s="21"/>
      <c r="N10" s="21"/>
      <c r="O10" s="21"/>
      <c r="P10" s="21"/>
      <c r="Q10" s="21"/>
      <c r="R10" s="21">
        <v>37500</v>
      </c>
      <c r="S10" s="21"/>
      <c r="T10" s="21">
        <v>3000</v>
      </c>
      <c r="U10" s="21">
        <v>55000</v>
      </c>
      <c r="V10" s="21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1:33" s="19" customFormat="1" ht="30" customHeight="1" x14ac:dyDescent="0.3">
      <c r="A11" s="21">
        <v>10</v>
      </c>
      <c r="B11" s="21" t="s">
        <v>129</v>
      </c>
      <c r="C11" s="21" t="s">
        <v>130</v>
      </c>
      <c r="D11" s="21" t="s">
        <v>131</v>
      </c>
      <c r="E11" s="22">
        <v>27977</v>
      </c>
      <c r="F11" s="21" t="s">
        <v>132</v>
      </c>
      <c r="G11" s="21" t="s">
        <v>25</v>
      </c>
      <c r="H11" s="44" t="s">
        <v>19</v>
      </c>
      <c r="I11" s="21" t="s">
        <v>28</v>
      </c>
      <c r="J11" s="21">
        <v>0</v>
      </c>
      <c r="K11" s="21">
        <v>0</v>
      </c>
      <c r="L11" s="21"/>
      <c r="M11" s="21"/>
      <c r="N11" s="21"/>
      <c r="O11" s="21"/>
      <c r="P11" s="21"/>
      <c r="Q11" s="21"/>
      <c r="R11" s="21">
        <v>50000</v>
      </c>
      <c r="S11" s="21"/>
      <c r="T11" s="21"/>
      <c r="U11" s="21"/>
      <c r="V11" s="21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1:33" s="19" customFormat="1" ht="30" customHeight="1" x14ac:dyDescent="0.3">
      <c r="A12" s="21">
        <v>11</v>
      </c>
      <c r="B12" s="21" t="s">
        <v>133</v>
      </c>
      <c r="C12" s="21" t="s">
        <v>134</v>
      </c>
      <c r="D12" s="21" t="s">
        <v>135</v>
      </c>
      <c r="E12" s="23" t="s">
        <v>136</v>
      </c>
      <c r="F12" s="21" t="s">
        <v>137</v>
      </c>
      <c r="G12" s="21" t="s">
        <v>26</v>
      </c>
      <c r="H12" s="44" t="s">
        <v>20</v>
      </c>
      <c r="I12" s="21" t="s">
        <v>28</v>
      </c>
      <c r="J12" s="21">
        <v>0</v>
      </c>
      <c r="K12" s="21">
        <v>0</v>
      </c>
      <c r="L12" s="21"/>
      <c r="M12" s="21">
        <v>8</v>
      </c>
      <c r="N12" s="21"/>
      <c r="O12" s="21">
        <v>3</v>
      </c>
      <c r="P12" s="21">
        <v>2</v>
      </c>
      <c r="Q12" s="21"/>
      <c r="R12" s="21"/>
      <c r="S12" s="21">
        <v>25000</v>
      </c>
      <c r="T12" s="21">
        <v>3000</v>
      </c>
      <c r="U12" s="21"/>
      <c r="V12" s="21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1:33" s="19" customFormat="1" ht="30" customHeight="1" x14ac:dyDescent="0.3">
      <c r="A13" s="21">
        <v>12</v>
      </c>
      <c r="B13" s="21" t="s">
        <v>138</v>
      </c>
      <c r="C13" s="21" t="s">
        <v>139</v>
      </c>
      <c r="D13" s="21" t="s">
        <v>140</v>
      </c>
      <c r="E13" s="23" t="s">
        <v>141</v>
      </c>
      <c r="F13" s="21" t="s">
        <v>142</v>
      </c>
      <c r="G13" s="21" t="s">
        <v>25</v>
      </c>
      <c r="H13" s="44" t="s">
        <v>20</v>
      </c>
      <c r="I13" s="21" t="s">
        <v>28</v>
      </c>
      <c r="J13" s="21">
        <v>0</v>
      </c>
      <c r="K13" s="21">
        <v>0</v>
      </c>
      <c r="L13" s="21"/>
      <c r="M13" s="21"/>
      <c r="N13" s="21"/>
      <c r="O13" s="21">
        <v>2</v>
      </c>
      <c r="P13" s="21"/>
      <c r="Q13" s="21"/>
      <c r="R13" s="21"/>
      <c r="S13" s="21"/>
      <c r="T13" s="21"/>
      <c r="U13" s="21">
        <v>17500</v>
      </c>
      <c r="V13" s="21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1:33" s="19" customFormat="1" ht="30" customHeight="1" x14ac:dyDescent="0.3">
      <c r="A14" s="21">
        <v>13</v>
      </c>
      <c r="B14" s="21" t="s">
        <v>143</v>
      </c>
      <c r="C14" s="21" t="s">
        <v>144</v>
      </c>
      <c r="D14" s="21" t="s">
        <v>145</v>
      </c>
      <c r="E14" s="23" t="s">
        <v>146</v>
      </c>
      <c r="F14" s="21" t="s">
        <v>147</v>
      </c>
      <c r="G14" s="21" t="s">
        <v>26</v>
      </c>
      <c r="H14" s="44" t="s">
        <v>20</v>
      </c>
      <c r="I14" s="21" t="s">
        <v>28</v>
      </c>
      <c r="J14" s="21">
        <v>0</v>
      </c>
      <c r="K14" s="21">
        <v>1</v>
      </c>
      <c r="L14" s="21"/>
      <c r="M14" s="21">
        <v>8</v>
      </c>
      <c r="N14" s="21">
        <v>5</v>
      </c>
      <c r="O14" s="21">
        <v>3</v>
      </c>
      <c r="P14" s="21">
        <v>3</v>
      </c>
      <c r="Q14" s="21"/>
      <c r="R14" s="21"/>
      <c r="S14" s="21">
        <v>17000</v>
      </c>
      <c r="T14" s="21">
        <v>3000</v>
      </c>
      <c r="U14" s="21"/>
      <c r="V14" s="21">
        <v>15000</v>
      </c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1:33" s="19" customFormat="1" ht="30" customHeight="1" x14ac:dyDescent="0.3">
      <c r="A15" s="21">
        <v>14</v>
      </c>
      <c r="B15" s="21" t="s">
        <v>148</v>
      </c>
      <c r="C15" s="21" t="s">
        <v>149</v>
      </c>
      <c r="D15" s="21" t="s">
        <v>150</v>
      </c>
      <c r="E15" s="23" t="s">
        <v>151</v>
      </c>
      <c r="F15" s="21" t="s">
        <v>152</v>
      </c>
      <c r="G15" s="21" t="s">
        <v>25</v>
      </c>
      <c r="H15" s="44" t="s">
        <v>21</v>
      </c>
      <c r="I15" s="21" t="s">
        <v>28</v>
      </c>
      <c r="J15" s="21">
        <v>0</v>
      </c>
      <c r="K15" s="21">
        <v>0</v>
      </c>
      <c r="L15" s="21"/>
      <c r="M15" s="21"/>
      <c r="N15" s="21"/>
      <c r="O15" s="21"/>
      <c r="P15" s="21"/>
      <c r="Q15" s="21"/>
      <c r="R15" s="21"/>
      <c r="S15" s="21"/>
      <c r="T15" s="21">
        <v>2500</v>
      </c>
      <c r="U15" s="21"/>
      <c r="V15" s="21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1:33" s="19" customFormat="1" ht="30" customHeight="1" x14ac:dyDescent="0.3">
      <c r="A16" s="21">
        <v>15</v>
      </c>
      <c r="B16" s="21" t="s">
        <v>153</v>
      </c>
      <c r="C16" s="21" t="s">
        <v>154</v>
      </c>
      <c r="D16" s="21" t="s">
        <v>150</v>
      </c>
      <c r="E16" s="23" t="s">
        <v>155</v>
      </c>
      <c r="F16" s="21" t="s">
        <v>152</v>
      </c>
      <c r="G16" s="21" t="s">
        <v>25</v>
      </c>
      <c r="H16" s="44" t="s">
        <v>21</v>
      </c>
      <c r="I16" s="21" t="s">
        <v>28</v>
      </c>
      <c r="J16" s="21">
        <v>0</v>
      </c>
      <c r="K16" s="21">
        <v>0</v>
      </c>
      <c r="L16" s="21"/>
      <c r="M16" s="21"/>
      <c r="N16" s="21">
        <v>5</v>
      </c>
      <c r="O16" s="21">
        <v>5</v>
      </c>
      <c r="P16" s="21"/>
      <c r="Q16" s="21"/>
      <c r="R16" s="21"/>
      <c r="S16" s="21"/>
      <c r="T16" s="21"/>
      <c r="U16" s="21"/>
      <c r="V16" s="21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1:32" s="19" customFormat="1" ht="30" customHeight="1" x14ac:dyDescent="0.3">
      <c r="A17" s="21">
        <v>16</v>
      </c>
      <c r="B17" s="21" t="s">
        <v>156</v>
      </c>
      <c r="C17" s="21" t="s">
        <v>157</v>
      </c>
      <c r="D17" s="21" t="s">
        <v>158</v>
      </c>
      <c r="E17" s="23" t="s">
        <v>159</v>
      </c>
      <c r="F17" s="21" t="s">
        <v>160</v>
      </c>
      <c r="G17" s="21" t="s">
        <v>25</v>
      </c>
      <c r="H17" s="44" t="s">
        <v>21</v>
      </c>
      <c r="I17" s="21" t="s">
        <v>27</v>
      </c>
      <c r="J17" s="21">
        <v>1</v>
      </c>
      <c r="K17" s="21">
        <v>4</v>
      </c>
      <c r="L17" s="21"/>
      <c r="M17" s="21">
        <v>8</v>
      </c>
      <c r="N17" s="21"/>
      <c r="O17" s="21"/>
      <c r="P17" s="21">
        <v>6</v>
      </c>
      <c r="Q17" s="21">
        <v>10000</v>
      </c>
      <c r="R17" s="21"/>
      <c r="S17" s="21"/>
      <c r="T17" s="21"/>
      <c r="U17" s="21"/>
      <c r="V17" s="21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1:32" ht="30" customHeight="1" x14ac:dyDescent="0.3">
      <c r="A18" s="21">
        <v>17</v>
      </c>
      <c r="B18" s="21" t="s">
        <v>161</v>
      </c>
      <c r="C18" s="21" t="s">
        <v>162</v>
      </c>
      <c r="D18" s="21" t="s">
        <v>158</v>
      </c>
      <c r="E18" s="23" t="s">
        <v>163</v>
      </c>
      <c r="F18" s="21" t="s">
        <v>164</v>
      </c>
      <c r="G18" s="21" t="s">
        <v>25</v>
      </c>
      <c r="H18" s="44" t="s">
        <v>21</v>
      </c>
      <c r="I18" s="21" t="s">
        <v>27</v>
      </c>
      <c r="J18" s="21">
        <v>1</v>
      </c>
      <c r="K18" s="21">
        <v>3</v>
      </c>
      <c r="L18" s="21"/>
      <c r="M18" s="21"/>
      <c r="N18" s="21">
        <v>2</v>
      </c>
      <c r="O18" s="21">
        <v>5</v>
      </c>
      <c r="P18" s="21"/>
      <c r="Q18" s="21"/>
      <c r="R18" s="21"/>
      <c r="S18" s="21"/>
      <c r="T18" s="21"/>
      <c r="U18" s="21">
        <v>20000</v>
      </c>
      <c r="V18" s="21"/>
    </row>
    <row r="19" spans="1:32" ht="30" customHeight="1" x14ac:dyDescent="0.3">
      <c r="A19" s="21">
        <v>18</v>
      </c>
      <c r="B19" s="21" t="s">
        <v>165</v>
      </c>
      <c r="C19" s="21" t="s">
        <v>166</v>
      </c>
      <c r="D19" s="21" t="s">
        <v>167</v>
      </c>
      <c r="E19" s="23" t="s">
        <v>168</v>
      </c>
      <c r="F19" s="21" t="s">
        <v>169</v>
      </c>
      <c r="G19" s="21" t="s">
        <v>25</v>
      </c>
      <c r="H19" s="44" t="s">
        <v>19</v>
      </c>
      <c r="I19" s="21" t="s">
        <v>27</v>
      </c>
      <c r="J19" s="21">
        <v>2</v>
      </c>
      <c r="K19" s="21">
        <v>7</v>
      </c>
      <c r="L19" s="21"/>
      <c r="M19" s="21"/>
      <c r="N19" s="21"/>
      <c r="O19" s="21"/>
      <c r="P19" s="21"/>
      <c r="Q19" s="21">
        <v>10000</v>
      </c>
      <c r="R19" s="21">
        <v>65000</v>
      </c>
      <c r="S19" s="21"/>
      <c r="T19" s="21"/>
      <c r="U19" s="21">
        <v>15000</v>
      </c>
      <c r="V19" s="21"/>
    </row>
    <row r="20" spans="1:32" ht="30" customHeight="1" x14ac:dyDescent="0.3">
      <c r="A20" s="21">
        <v>19</v>
      </c>
      <c r="B20" s="21" t="s">
        <v>170</v>
      </c>
      <c r="C20" s="21" t="s">
        <v>171</v>
      </c>
      <c r="D20" s="21" t="s">
        <v>172</v>
      </c>
      <c r="E20" s="23" t="s">
        <v>173</v>
      </c>
      <c r="F20" s="21" t="s">
        <v>174</v>
      </c>
      <c r="G20" s="21" t="s">
        <v>25</v>
      </c>
      <c r="H20" s="44" t="s">
        <v>21</v>
      </c>
      <c r="I20" s="21" t="s">
        <v>27</v>
      </c>
      <c r="J20" s="21">
        <v>1</v>
      </c>
      <c r="K20" s="21">
        <v>1</v>
      </c>
      <c r="L20" s="21"/>
      <c r="M20" s="21"/>
      <c r="N20" s="21"/>
      <c r="O20" s="21"/>
      <c r="P20" s="21">
        <v>8</v>
      </c>
      <c r="Q20" s="21"/>
      <c r="R20" s="21"/>
      <c r="S20" s="21"/>
      <c r="T20" s="21">
        <v>3000</v>
      </c>
      <c r="U20" s="21"/>
      <c r="V20" s="21"/>
    </row>
    <row r="21" spans="1:32" ht="30" customHeight="1" x14ac:dyDescent="0.3">
      <c r="A21" s="21">
        <v>20</v>
      </c>
      <c r="B21" s="21" t="s">
        <v>175</v>
      </c>
      <c r="C21" s="21" t="s">
        <v>176</v>
      </c>
      <c r="D21" s="21" t="s">
        <v>172</v>
      </c>
      <c r="E21" s="23" t="s">
        <v>177</v>
      </c>
      <c r="F21" s="21" t="s">
        <v>178</v>
      </c>
      <c r="G21" s="21" t="s">
        <v>25</v>
      </c>
      <c r="H21" s="44" t="s">
        <v>20</v>
      </c>
      <c r="I21" s="21" t="s">
        <v>27</v>
      </c>
      <c r="J21" s="21">
        <v>1</v>
      </c>
      <c r="K21" s="21">
        <v>3</v>
      </c>
      <c r="L21" s="21">
        <v>13500</v>
      </c>
      <c r="M21" s="21">
        <v>8</v>
      </c>
      <c r="N21" s="21">
        <v>3</v>
      </c>
      <c r="O21" s="21"/>
      <c r="P21" s="21"/>
      <c r="Q21" s="21"/>
      <c r="R21" s="21"/>
      <c r="S21" s="21"/>
      <c r="T21" s="21">
        <v>2500</v>
      </c>
      <c r="U21" s="21"/>
      <c r="V21" s="21"/>
    </row>
    <row r="22" spans="1:32" ht="30" customHeight="1" x14ac:dyDescent="0.3">
      <c r="A22" s="21">
        <v>21</v>
      </c>
      <c r="B22" s="21" t="s">
        <v>179</v>
      </c>
      <c r="C22" s="21" t="s">
        <v>180</v>
      </c>
      <c r="D22" s="21" t="s">
        <v>181</v>
      </c>
      <c r="E22" s="22">
        <v>28924</v>
      </c>
      <c r="F22" s="21" t="s">
        <v>182</v>
      </c>
      <c r="G22" s="21" t="s">
        <v>25</v>
      </c>
      <c r="H22" s="44" t="s">
        <v>20</v>
      </c>
      <c r="I22" s="21" t="s">
        <v>27</v>
      </c>
      <c r="J22" s="21">
        <v>2</v>
      </c>
      <c r="K22" s="21">
        <v>4</v>
      </c>
      <c r="L22" s="21"/>
      <c r="M22" s="21">
        <v>8</v>
      </c>
      <c r="N22" s="21">
        <v>4</v>
      </c>
      <c r="O22" s="21">
        <v>4</v>
      </c>
      <c r="P22" s="21">
        <v>6</v>
      </c>
      <c r="Q22" s="21"/>
      <c r="R22" s="21"/>
      <c r="S22" s="21">
        <v>20000</v>
      </c>
      <c r="T22" s="21"/>
      <c r="U22" s="21"/>
      <c r="V22" s="21"/>
    </row>
    <row r="23" spans="1:32" ht="30" customHeight="1" x14ac:dyDescent="0.3">
      <c r="A23" s="21">
        <v>22</v>
      </c>
      <c r="B23" s="21" t="s">
        <v>183</v>
      </c>
      <c r="C23" s="21" t="s">
        <v>184</v>
      </c>
      <c r="D23" s="21" t="s">
        <v>181</v>
      </c>
      <c r="E23" s="22">
        <v>30263</v>
      </c>
      <c r="F23" s="21" t="s">
        <v>185</v>
      </c>
      <c r="G23" s="21" t="s">
        <v>26</v>
      </c>
      <c r="H23" s="44" t="s">
        <v>20</v>
      </c>
      <c r="I23" s="21" t="s">
        <v>27</v>
      </c>
      <c r="J23" s="21">
        <v>0</v>
      </c>
      <c r="K23" s="21">
        <v>3</v>
      </c>
      <c r="L23" s="21"/>
      <c r="M23" s="21"/>
      <c r="N23" s="21"/>
      <c r="O23" s="21"/>
      <c r="P23" s="21"/>
      <c r="Q23" s="21">
        <v>10000</v>
      </c>
      <c r="R23" s="21"/>
      <c r="S23" s="21"/>
      <c r="T23" s="21"/>
      <c r="U23" s="21"/>
      <c r="V23" s="21"/>
    </row>
    <row r="24" spans="1:32" ht="30" customHeight="1" x14ac:dyDescent="0.3">
      <c r="A24" s="21">
        <v>23</v>
      </c>
      <c r="B24" s="21" t="s">
        <v>186</v>
      </c>
      <c r="C24" s="21" t="s">
        <v>187</v>
      </c>
      <c r="D24" s="21" t="s">
        <v>188</v>
      </c>
      <c r="E24" s="22">
        <v>27489</v>
      </c>
      <c r="F24" s="21" t="s">
        <v>189</v>
      </c>
      <c r="G24" s="21" t="s">
        <v>25</v>
      </c>
      <c r="H24" s="44" t="s">
        <v>21</v>
      </c>
      <c r="I24" s="21" t="s">
        <v>27</v>
      </c>
      <c r="J24" s="21">
        <v>2</v>
      </c>
      <c r="K24" s="21">
        <v>5</v>
      </c>
      <c r="L24" s="21"/>
      <c r="M24" s="21"/>
      <c r="N24" s="21"/>
      <c r="O24" s="21">
        <v>3</v>
      </c>
      <c r="P24" s="21">
        <v>6</v>
      </c>
      <c r="Q24" s="21"/>
      <c r="R24" s="21"/>
      <c r="S24" s="21">
        <v>20000</v>
      </c>
      <c r="T24" s="21"/>
      <c r="U24" s="21"/>
      <c r="V24" s="21"/>
    </row>
    <row r="25" spans="1:32" ht="30" customHeight="1" x14ac:dyDescent="0.3">
      <c r="A25" s="21">
        <v>24</v>
      </c>
      <c r="B25" s="21" t="s">
        <v>190</v>
      </c>
      <c r="C25" s="21" t="s">
        <v>191</v>
      </c>
      <c r="D25" s="21" t="s">
        <v>192</v>
      </c>
      <c r="E25" s="23" t="s">
        <v>193</v>
      </c>
      <c r="F25" s="21" t="s">
        <v>194</v>
      </c>
      <c r="G25" s="21" t="s">
        <v>25</v>
      </c>
      <c r="H25" s="44" t="s">
        <v>21</v>
      </c>
      <c r="I25" s="21" t="s">
        <v>27</v>
      </c>
      <c r="J25" s="21">
        <v>1</v>
      </c>
      <c r="K25" s="21">
        <v>0</v>
      </c>
      <c r="L25" s="21"/>
      <c r="M25" s="21">
        <v>8</v>
      </c>
      <c r="N25" s="21">
        <v>5</v>
      </c>
      <c r="O25" s="21">
        <v>2</v>
      </c>
      <c r="P25" s="21"/>
      <c r="Q25" s="21">
        <v>10000</v>
      </c>
      <c r="R25" s="21"/>
      <c r="S25" s="21"/>
      <c r="T25" s="21">
        <v>2500</v>
      </c>
      <c r="U25" s="21"/>
      <c r="V25" s="21"/>
    </row>
    <row r="26" spans="1:32" ht="30" customHeight="1" x14ac:dyDescent="0.3">
      <c r="A26" s="21">
        <v>25</v>
      </c>
      <c r="B26" s="21" t="s">
        <v>195</v>
      </c>
      <c r="C26" s="21" t="s">
        <v>196</v>
      </c>
      <c r="D26" s="21" t="s">
        <v>192</v>
      </c>
      <c r="E26" s="22">
        <v>28525</v>
      </c>
      <c r="F26" s="21" t="s">
        <v>197</v>
      </c>
      <c r="G26" s="21" t="s">
        <v>26</v>
      </c>
      <c r="H26" s="44" t="s">
        <v>21</v>
      </c>
      <c r="I26" s="21" t="s">
        <v>28</v>
      </c>
      <c r="J26" s="21">
        <v>0</v>
      </c>
      <c r="K26" s="21">
        <v>0</v>
      </c>
      <c r="L26" s="21"/>
      <c r="M26" s="21"/>
      <c r="N26" s="21">
        <v>4</v>
      </c>
      <c r="O26" s="21"/>
      <c r="P26" s="21">
        <v>5</v>
      </c>
      <c r="Q26" s="21"/>
      <c r="R26" s="21"/>
      <c r="S26" s="21"/>
      <c r="T26" s="21">
        <v>3000</v>
      </c>
      <c r="U26" s="21">
        <v>30000</v>
      </c>
      <c r="V26" s="21"/>
    </row>
    <row r="27" spans="1:32" ht="30" customHeight="1" x14ac:dyDescent="0.3">
      <c r="A27" s="21">
        <v>26</v>
      </c>
      <c r="B27" s="21" t="s">
        <v>198</v>
      </c>
      <c r="C27" s="21" t="s">
        <v>199</v>
      </c>
      <c r="D27" s="21" t="s">
        <v>200</v>
      </c>
      <c r="E27" s="23" t="s">
        <v>201</v>
      </c>
      <c r="F27" s="21" t="s">
        <v>202</v>
      </c>
      <c r="G27" s="21" t="s">
        <v>25</v>
      </c>
      <c r="H27" s="44" t="s">
        <v>21</v>
      </c>
      <c r="I27" s="21" t="s">
        <v>28</v>
      </c>
      <c r="J27" s="21">
        <v>0</v>
      </c>
      <c r="K27" s="21">
        <v>0</v>
      </c>
      <c r="L27" s="21">
        <v>12000</v>
      </c>
      <c r="M27" s="21">
        <v>8</v>
      </c>
      <c r="N27" s="21">
        <v>4</v>
      </c>
      <c r="O27" s="21">
        <v>5</v>
      </c>
      <c r="P27" s="21">
        <v>7</v>
      </c>
      <c r="Q27" s="21"/>
      <c r="R27" s="21"/>
      <c r="S27" s="21"/>
      <c r="T27" s="21"/>
      <c r="U27" s="21"/>
      <c r="V27" s="21"/>
    </row>
    <row r="28" spans="1:32" ht="30" customHeight="1" x14ac:dyDescent="0.3">
      <c r="A28" s="21">
        <v>27</v>
      </c>
      <c r="B28" s="21" t="s">
        <v>203</v>
      </c>
      <c r="C28" s="21" t="s">
        <v>157</v>
      </c>
      <c r="D28" s="21" t="s">
        <v>204</v>
      </c>
      <c r="E28" s="23" t="s">
        <v>205</v>
      </c>
      <c r="F28" s="21" t="s">
        <v>206</v>
      </c>
      <c r="G28" s="21" t="s">
        <v>25</v>
      </c>
      <c r="H28" s="44" t="s">
        <v>19</v>
      </c>
      <c r="I28" s="21" t="s">
        <v>28</v>
      </c>
      <c r="J28" s="21">
        <v>0</v>
      </c>
      <c r="K28" s="21">
        <v>0</v>
      </c>
      <c r="L28" s="21"/>
      <c r="M28" s="21"/>
      <c r="N28" s="21"/>
      <c r="O28" s="21"/>
      <c r="P28" s="21"/>
      <c r="Q28" s="21"/>
      <c r="R28" s="21">
        <v>15000</v>
      </c>
      <c r="S28" s="21"/>
      <c r="T28" s="21">
        <v>3000</v>
      </c>
      <c r="U28" s="21"/>
      <c r="V28" s="21"/>
    </row>
    <row r="29" spans="1:32" ht="30" customHeight="1" x14ac:dyDescent="0.3">
      <c r="A29" s="21">
        <v>28</v>
      </c>
      <c r="B29" s="21" t="s">
        <v>207</v>
      </c>
      <c r="C29" s="21" t="s">
        <v>208</v>
      </c>
      <c r="D29" s="21" t="s">
        <v>209</v>
      </c>
      <c r="E29" s="22">
        <v>29901</v>
      </c>
      <c r="F29" s="21" t="s">
        <v>210</v>
      </c>
      <c r="G29" s="21" t="s">
        <v>25</v>
      </c>
      <c r="H29" s="44" t="s">
        <v>20</v>
      </c>
      <c r="I29" s="21" t="s">
        <v>28</v>
      </c>
      <c r="J29" s="21">
        <v>0</v>
      </c>
      <c r="K29" s="21">
        <v>0</v>
      </c>
      <c r="L29" s="21"/>
      <c r="M29" s="21">
        <v>8</v>
      </c>
      <c r="N29" s="21">
        <v>2</v>
      </c>
      <c r="O29" s="21"/>
      <c r="P29" s="21">
        <v>5</v>
      </c>
      <c r="Q29" s="21"/>
      <c r="R29" s="21"/>
      <c r="S29" s="21"/>
      <c r="T29" s="21">
        <v>2500</v>
      </c>
      <c r="U29" s="21"/>
      <c r="V29" s="21"/>
    </row>
    <row r="30" spans="1:32" ht="30" customHeight="1" x14ac:dyDescent="0.3">
      <c r="A30" s="21">
        <v>29</v>
      </c>
      <c r="B30" s="21" t="s">
        <v>211</v>
      </c>
      <c r="C30" s="21" t="s">
        <v>212</v>
      </c>
      <c r="D30" s="21" t="s">
        <v>213</v>
      </c>
      <c r="E30" s="22">
        <v>31083</v>
      </c>
      <c r="F30" s="21" t="s">
        <v>214</v>
      </c>
      <c r="G30" s="21" t="s">
        <v>26</v>
      </c>
      <c r="H30" s="44" t="s">
        <v>19</v>
      </c>
      <c r="I30" s="21" t="s">
        <v>27</v>
      </c>
      <c r="J30" s="21">
        <v>0</v>
      </c>
      <c r="K30" s="21">
        <v>2</v>
      </c>
      <c r="L30" s="21"/>
      <c r="M30" s="21"/>
      <c r="N30" s="21"/>
      <c r="O30" s="21"/>
      <c r="P30" s="21"/>
      <c r="Q30" s="21">
        <v>10000</v>
      </c>
      <c r="R30" s="21">
        <v>17500</v>
      </c>
      <c r="S30" s="21"/>
      <c r="T30" s="21"/>
      <c r="U30" s="21"/>
      <c r="V30" s="21"/>
    </row>
    <row r="31" spans="1:32" ht="30" customHeight="1" x14ac:dyDescent="0.3">
      <c r="A31" s="21">
        <v>30</v>
      </c>
      <c r="B31" s="21" t="s">
        <v>215</v>
      </c>
      <c r="C31" s="21" t="s">
        <v>216</v>
      </c>
      <c r="D31" s="21" t="s">
        <v>217</v>
      </c>
      <c r="E31" s="23" t="s">
        <v>218</v>
      </c>
      <c r="F31" s="21" t="s">
        <v>219</v>
      </c>
      <c r="G31" s="21" t="s">
        <v>25</v>
      </c>
      <c r="H31" s="44" t="s">
        <v>19</v>
      </c>
      <c r="I31" s="21" t="s">
        <v>27</v>
      </c>
      <c r="J31" s="21">
        <v>3</v>
      </c>
      <c r="K31" s="21">
        <v>7</v>
      </c>
      <c r="L31" s="21"/>
      <c r="M31" s="21"/>
      <c r="N31" s="21"/>
      <c r="O31" s="21"/>
      <c r="P31" s="21"/>
      <c r="Q31" s="21">
        <v>8000</v>
      </c>
      <c r="R31" s="21"/>
      <c r="S31" s="21"/>
      <c r="T31" s="21">
        <v>3000</v>
      </c>
      <c r="U31" s="21"/>
      <c r="V31" s="21"/>
    </row>
    <row r="32" spans="1:32" ht="30" customHeight="1" x14ac:dyDescent="0.3">
      <c r="A32" s="21">
        <v>31</v>
      </c>
      <c r="B32" s="21" t="s">
        <v>220</v>
      </c>
      <c r="C32" s="21" t="s">
        <v>221</v>
      </c>
      <c r="D32" s="21" t="s">
        <v>222</v>
      </c>
      <c r="E32" s="23" t="s">
        <v>177</v>
      </c>
      <c r="F32" s="21" t="s">
        <v>223</v>
      </c>
      <c r="G32" s="21" t="s">
        <v>25</v>
      </c>
      <c r="H32" s="44" t="s">
        <v>19</v>
      </c>
      <c r="I32" s="21" t="s">
        <v>27</v>
      </c>
      <c r="J32" s="21">
        <v>1</v>
      </c>
      <c r="K32" s="21">
        <v>5</v>
      </c>
      <c r="L32" s="21"/>
      <c r="M32" s="21"/>
      <c r="N32" s="21"/>
      <c r="O32" s="21"/>
      <c r="P32" s="21"/>
      <c r="Q32" s="21"/>
      <c r="R32" s="21">
        <v>10000</v>
      </c>
      <c r="S32" s="21">
        <v>20000</v>
      </c>
      <c r="T32" s="21"/>
      <c r="U32" s="21"/>
      <c r="V32" s="21"/>
    </row>
    <row r="33" spans="1:22" ht="30" customHeight="1" x14ac:dyDescent="0.3">
      <c r="A33" s="21">
        <v>32</v>
      </c>
      <c r="B33" s="21" t="s">
        <v>224</v>
      </c>
      <c r="C33" s="21" t="s">
        <v>225</v>
      </c>
      <c r="D33" s="21" t="s">
        <v>226</v>
      </c>
      <c r="E33" s="22">
        <v>31110</v>
      </c>
      <c r="F33" s="21" t="s">
        <v>227</v>
      </c>
      <c r="G33" s="21" t="s">
        <v>25</v>
      </c>
      <c r="H33" s="44" t="s">
        <v>20</v>
      </c>
      <c r="I33" s="21" t="s">
        <v>27</v>
      </c>
      <c r="J33" s="21">
        <v>1</v>
      </c>
      <c r="K33" s="21">
        <v>3</v>
      </c>
      <c r="L33" s="21"/>
      <c r="M33" s="21">
        <v>8</v>
      </c>
      <c r="N33" s="21"/>
      <c r="O33" s="21"/>
      <c r="P33" s="21">
        <v>3</v>
      </c>
      <c r="Q33" s="21"/>
      <c r="R33" s="21"/>
      <c r="S33" s="21"/>
      <c r="T33" s="21">
        <v>3000</v>
      </c>
      <c r="U33" s="21"/>
      <c r="V33" s="21"/>
    </row>
    <row r="34" spans="1:22" ht="30" customHeight="1" x14ac:dyDescent="0.3">
      <c r="A34" s="21">
        <v>33</v>
      </c>
      <c r="B34" s="21" t="s">
        <v>228</v>
      </c>
      <c r="C34" s="21" t="s">
        <v>229</v>
      </c>
      <c r="D34" s="21" t="s">
        <v>230</v>
      </c>
      <c r="E34" s="22">
        <v>28377</v>
      </c>
      <c r="F34" s="21" t="s">
        <v>231</v>
      </c>
      <c r="G34" s="21" t="s">
        <v>25</v>
      </c>
      <c r="H34" s="44" t="s">
        <v>20</v>
      </c>
      <c r="I34" s="21" t="s">
        <v>27</v>
      </c>
      <c r="J34" s="21">
        <v>1</v>
      </c>
      <c r="K34" s="21">
        <v>4</v>
      </c>
      <c r="L34" s="21"/>
      <c r="M34" s="21"/>
      <c r="N34" s="21"/>
      <c r="O34" s="21"/>
      <c r="P34" s="21">
        <v>6</v>
      </c>
      <c r="Q34" s="21"/>
      <c r="R34" s="21"/>
      <c r="S34" s="21"/>
      <c r="T34" s="21">
        <v>3000</v>
      </c>
      <c r="U34" s="21"/>
      <c r="V34" s="21"/>
    </row>
    <row r="35" spans="1:22" ht="30" customHeight="1" x14ac:dyDescent="0.3">
      <c r="A35" s="21">
        <v>34</v>
      </c>
      <c r="B35" s="21" t="s">
        <v>232</v>
      </c>
      <c r="C35" s="21" t="s">
        <v>233</v>
      </c>
      <c r="D35" s="21" t="s">
        <v>234</v>
      </c>
      <c r="E35" s="22">
        <v>27672</v>
      </c>
      <c r="F35" s="21" t="s">
        <v>235</v>
      </c>
      <c r="G35" s="21" t="s">
        <v>26</v>
      </c>
      <c r="H35" s="44" t="s">
        <v>20</v>
      </c>
      <c r="I35" s="21" t="s">
        <v>27</v>
      </c>
      <c r="J35" s="21">
        <v>0</v>
      </c>
      <c r="K35" s="21">
        <v>2</v>
      </c>
      <c r="L35" s="21"/>
      <c r="M35" s="21">
        <v>8</v>
      </c>
      <c r="N35" s="21"/>
      <c r="O35" s="21"/>
      <c r="P35" s="21"/>
      <c r="Q35" s="21"/>
      <c r="R35" s="21">
        <v>14500</v>
      </c>
      <c r="S35" s="21">
        <v>25000</v>
      </c>
      <c r="T35" s="21"/>
      <c r="U35" s="21">
        <v>10000</v>
      </c>
      <c r="V35" s="21"/>
    </row>
    <row r="36" spans="1:22" ht="30" customHeight="1" x14ac:dyDescent="0.3">
      <c r="A36" s="21">
        <v>35</v>
      </c>
      <c r="B36" s="21" t="s">
        <v>236</v>
      </c>
      <c r="C36" s="21" t="s">
        <v>237</v>
      </c>
      <c r="D36" s="21" t="s">
        <v>238</v>
      </c>
      <c r="E36" s="23" t="s">
        <v>239</v>
      </c>
      <c r="F36" s="21" t="s">
        <v>240</v>
      </c>
      <c r="G36" s="21" t="s">
        <v>25</v>
      </c>
      <c r="H36" s="44" t="s">
        <v>20</v>
      </c>
      <c r="I36" s="21" t="s">
        <v>27</v>
      </c>
      <c r="J36" s="21">
        <v>2</v>
      </c>
      <c r="K36" s="21">
        <v>4</v>
      </c>
      <c r="L36" s="21"/>
      <c r="M36" s="21"/>
      <c r="N36" s="21"/>
      <c r="O36" s="21"/>
      <c r="P36" s="21">
        <v>2</v>
      </c>
      <c r="Q36" s="21"/>
      <c r="R36" s="21"/>
      <c r="S36" s="21"/>
      <c r="T36" s="21"/>
      <c r="U36" s="21"/>
      <c r="V36" s="21"/>
    </row>
    <row r="37" spans="1:22" ht="30" customHeight="1" x14ac:dyDescent="0.3">
      <c r="A37" s="21">
        <v>36</v>
      </c>
      <c r="B37" s="21" t="s">
        <v>241</v>
      </c>
      <c r="C37" s="21" t="s">
        <v>242</v>
      </c>
      <c r="D37" s="21" t="s">
        <v>243</v>
      </c>
      <c r="E37" s="23" t="s">
        <v>244</v>
      </c>
      <c r="F37" s="21" t="s">
        <v>245</v>
      </c>
      <c r="G37" s="21" t="s">
        <v>25</v>
      </c>
      <c r="H37" s="44" t="s">
        <v>20</v>
      </c>
      <c r="I37" s="21" t="s">
        <v>27</v>
      </c>
      <c r="J37" s="21">
        <v>1</v>
      </c>
      <c r="K37" s="21">
        <v>6</v>
      </c>
      <c r="L37" s="21"/>
      <c r="M37" s="21"/>
      <c r="N37" s="21"/>
      <c r="O37" s="21"/>
      <c r="P37" s="21">
        <v>4</v>
      </c>
      <c r="Q37" s="21"/>
      <c r="R37" s="21"/>
      <c r="S37" s="21"/>
      <c r="T37" s="21"/>
      <c r="U37" s="21">
        <v>13000</v>
      </c>
      <c r="V37" s="21"/>
    </row>
    <row r="38" spans="1:22" ht="30" customHeight="1" x14ac:dyDescent="0.3">
      <c r="A38" s="21">
        <v>37</v>
      </c>
      <c r="B38" s="21" t="s">
        <v>246</v>
      </c>
      <c r="C38" s="21" t="s">
        <v>226</v>
      </c>
      <c r="D38" s="21" t="s">
        <v>247</v>
      </c>
      <c r="E38" s="22">
        <v>28501</v>
      </c>
      <c r="F38" s="21" t="s">
        <v>137</v>
      </c>
      <c r="G38" s="21" t="s">
        <v>25</v>
      </c>
      <c r="H38" s="44" t="s">
        <v>21</v>
      </c>
      <c r="I38" s="21" t="s">
        <v>28</v>
      </c>
      <c r="J38" s="21">
        <v>0</v>
      </c>
      <c r="K38" s="21">
        <v>0</v>
      </c>
      <c r="L38" s="21">
        <v>10000</v>
      </c>
      <c r="M38" s="21"/>
      <c r="N38" s="21"/>
      <c r="O38" s="21"/>
      <c r="P38" s="21"/>
      <c r="Q38" s="21"/>
      <c r="R38" s="21"/>
      <c r="S38" s="21"/>
      <c r="T38" s="21">
        <v>3000</v>
      </c>
      <c r="U38" s="21"/>
      <c r="V38" s="21"/>
    </row>
    <row r="39" spans="1:22" ht="30" customHeight="1" x14ac:dyDescent="0.3">
      <c r="A39" s="21">
        <v>38</v>
      </c>
      <c r="B39" s="21" t="s">
        <v>248</v>
      </c>
      <c r="C39" s="21" t="s">
        <v>249</v>
      </c>
      <c r="D39" s="21" t="s">
        <v>247</v>
      </c>
      <c r="E39" s="23" t="s">
        <v>250</v>
      </c>
      <c r="F39" s="21" t="s">
        <v>142</v>
      </c>
      <c r="G39" s="21" t="s">
        <v>25</v>
      </c>
      <c r="H39" s="44" t="s">
        <v>19</v>
      </c>
      <c r="I39" s="21" t="s">
        <v>28</v>
      </c>
      <c r="J39" s="21">
        <v>0</v>
      </c>
      <c r="K39" s="21">
        <v>0</v>
      </c>
      <c r="L39" s="21"/>
      <c r="M39" s="21"/>
      <c r="N39" s="21"/>
      <c r="O39" s="21"/>
      <c r="P39" s="21"/>
      <c r="Q39" s="21">
        <v>10000</v>
      </c>
      <c r="R39" s="21">
        <v>15000</v>
      </c>
      <c r="S39" s="21"/>
      <c r="T39" s="21"/>
      <c r="U39" s="21">
        <v>10000</v>
      </c>
      <c r="V39" s="21"/>
    </row>
    <row r="40" spans="1:22" ht="30" customHeight="1" x14ac:dyDescent="0.3">
      <c r="A40" s="21">
        <v>39</v>
      </c>
      <c r="B40" s="21" t="s">
        <v>251</v>
      </c>
      <c r="C40" s="21" t="s">
        <v>252</v>
      </c>
      <c r="D40" s="21" t="s">
        <v>253</v>
      </c>
      <c r="E40" s="23" t="s">
        <v>254</v>
      </c>
      <c r="F40" s="21" t="s">
        <v>117</v>
      </c>
      <c r="G40" s="21" t="s">
        <v>26</v>
      </c>
      <c r="H40" s="44" t="s">
        <v>21</v>
      </c>
      <c r="I40" s="21" t="s">
        <v>28</v>
      </c>
      <c r="J40" s="21">
        <v>0</v>
      </c>
      <c r="K40" s="21">
        <v>0</v>
      </c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</row>
    <row r="41" spans="1:22" ht="30" customHeight="1" x14ac:dyDescent="0.3">
      <c r="A41" s="21">
        <v>40</v>
      </c>
      <c r="B41" s="21" t="s">
        <v>255</v>
      </c>
      <c r="C41" s="21" t="s">
        <v>256</v>
      </c>
      <c r="D41" s="21" t="s">
        <v>253</v>
      </c>
      <c r="E41" s="23" t="s">
        <v>257</v>
      </c>
      <c r="F41" s="21" t="s">
        <v>108</v>
      </c>
      <c r="G41" s="21" t="s">
        <v>26</v>
      </c>
      <c r="H41" s="44" t="s">
        <v>21</v>
      </c>
      <c r="I41" s="21" t="s">
        <v>28</v>
      </c>
      <c r="J41" s="21">
        <v>0</v>
      </c>
      <c r="K41" s="21">
        <v>0</v>
      </c>
      <c r="L41" s="21"/>
      <c r="M41" s="21">
        <v>8</v>
      </c>
      <c r="N41" s="21">
        <v>5</v>
      </c>
      <c r="O41" s="21"/>
      <c r="P41" s="21"/>
      <c r="Q41" s="21"/>
      <c r="R41" s="21"/>
      <c r="S41" s="21"/>
      <c r="T41" s="21">
        <v>5000</v>
      </c>
      <c r="U41" s="21"/>
      <c r="V41" s="21"/>
    </row>
    <row r="42" spans="1:22" ht="30" customHeight="1" x14ac:dyDescent="0.3">
      <c r="A42" s="21">
        <v>41</v>
      </c>
      <c r="B42" s="21" t="s">
        <v>258</v>
      </c>
      <c r="C42" s="21" t="s">
        <v>259</v>
      </c>
      <c r="D42" s="21" t="s">
        <v>260</v>
      </c>
      <c r="E42" s="23" t="s">
        <v>261</v>
      </c>
      <c r="F42" s="21" t="s">
        <v>93</v>
      </c>
      <c r="G42" s="21" t="s">
        <v>25</v>
      </c>
      <c r="H42" s="44" t="s">
        <v>19</v>
      </c>
      <c r="I42" s="21" t="s">
        <v>28</v>
      </c>
      <c r="J42" s="21">
        <v>0</v>
      </c>
      <c r="K42" s="21">
        <v>1</v>
      </c>
      <c r="L42" s="21"/>
      <c r="M42" s="21"/>
      <c r="N42" s="21"/>
      <c r="O42" s="21"/>
      <c r="P42" s="21"/>
      <c r="Q42" s="21"/>
      <c r="R42" s="21">
        <v>55000</v>
      </c>
      <c r="S42" s="21"/>
      <c r="T42" s="21">
        <v>2500</v>
      </c>
      <c r="U42" s="21"/>
      <c r="V42" s="21">
        <v>30000</v>
      </c>
    </row>
    <row r="43" spans="1:22" ht="30" customHeight="1" x14ac:dyDescent="0.3">
      <c r="A43" s="21">
        <v>42</v>
      </c>
      <c r="B43" s="21" t="s">
        <v>262</v>
      </c>
      <c r="C43" s="21" t="s">
        <v>263</v>
      </c>
      <c r="D43" s="21" t="s">
        <v>264</v>
      </c>
      <c r="E43" s="23" t="s">
        <v>265</v>
      </c>
      <c r="F43" s="21" t="s">
        <v>266</v>
      </c>
      <c r="G43" s="21" t="s">
        <v>25</v>
      </c>
      <c r="H43" s="44" t="s">
        <v>21</v>
      </c>
      <c r="I43" s="21" t="s">
        <v>27</v>
      </c>
      <c r="J43" s="21">
        <v>2</v>
      </c>
      <c r="K43" s="21">
        <v>5</v>
      </c>
      <c r="L43" s="21"/>
      <c r="M43" s="21"/>
      <c r="N43" s="21"/>
      <c r="O43" s="21"/>
      <c r="P43" s="21"/>
      <c r="Q43" s="21"/>
      <c r="R43" s="21"/>
      <c r="S43" s="21"/>
      <c r="T43" s="21"/>
      <c r="U43" s="21">
        <v>10000</v>
      </c>
      <c r="V43" s="21"/>
    </row>
    <row r="44" spans="1:22" ht="30" customHeight="1" x14ac:dyDescent="0.3">
      <c r="A44" s="21">
        <v>43</v>
      </c>
      <c r="B44" s="21" t="s">
        <v>267</v>
      </c>
      <c r="C44" s="21" t="s">
        <v>268</v>
      </c>
      <c r="D44" s="21" t="s">
        <v>269</v>
      </c>
      <c r="E44" s="23" t="s">
        <v>270</v>
      </c>
      <c r="F44" s="21" t="s">
        <v>271</v>
      </c>
      <c r="G44" s="21" t="s">
        <v>25</v>
      </c>
      <c r="H44" s="44" t="s">
        <v>21</v>
      </c>
      <c r="I44" s="21" t="s">
        <v>27</v>
      </c>
      <c r="J44" s="21">
        <v>1</v>
      </c>
      <c r="K44" s="21">
        <v>1</v>
      </c>
      <c r="L44" s="21"/>
      <c r="M44" s="21">
        <v>8</v>
      </c>
      <c r="N44" s="21">
        <v>5</v>
      </c>
      <c r="O44" s="21"/>
      <c r="P44" s="21">
        <v>3</v>
      </c>
      <c r="Q44" s="21"/>
      <c r="R44" s="21"/>
      <c r="S44" s="21">
        <v>20000</v>
      </c>
      <c r="T44" s="21"/>
      <c r="U44" s="21"/>
      <c r="V44" s="21"/>
    </row>
    <row r="45" spans="1:22" ht="30" customHeight="1" x14ac:dyDescent="0.3">
      <c r="A45" s="21">
        <v>44</v>
      </c>
      <c r="B45" s="21" t="s">
        <v>272</v>
      </c>
      <c r="C45" s="21" t="s">
        <v>273</v>
      </c>
      <c r="D45" s="21" t="s">
        <v>274</v>
      </c>
      <c r="E45" s="22">
        <v>27974</v>
      </c>
      <c r="F45" s="21" t="s">
        <v>227</v>
      </c>
      <c r="G45" s="21" t="s">
        <v>25</v>
      </c>
      <c r="H45" s="44" t="s">
        <v>20</v>
      </c>
      <c r="I45" s="21" t="s">
        <v>27</v>
      </c>
      <c r="J45" s="21">
        <v>1</v>
      </c>
      <c r="K45" s="21">
        <v>1</v>
      </c>
      <c r="L45" s="21"/>
      <c r="M45" s="21"/>
      <c r="N45" s="21"/>
      <c r="O45" s="21"/>
      <c r="P45" s="21">
        <v>2</v>
      </c>
      <c r="Q45" s="21">
        <v>8500</v>
      </c>
      <c r="R45" s="21"/>
      <c r="S45" s="21"/>
      <c r="T45" s="21">
        <v>2500</v>
      </c>
      <c r="U45" s="21"/>
      <c r="V45" s="21"/>
    </row>
    <row r="46" spans="1:22" ht="30" customHeight="1" x14ac:dyDescent="0.3">
      <c r="A46" s="21">
        <v>45</v>
      </c>
      <c r="B46" s="21" t="s">
        <v>275</v>
      </c>
      <c r="C46" s="21" t="s">
        <v>276</v>
      </c>
      <c r="D46" s="21" t="s">
        <v>277</v>
      </c>
      <c r="E46" s="23" t="s">
        <v>278</v>
      </c>
      <c r="F46" s="21" t="s">
        <v>279</v>
      </c>
      <c r="G46" s="21" t="s">
        <v>26</v>
      </c>
      <c r="H46" s="44" t="s">
        <v>20</v>
      </c>
      <c r="I46" s="21" t="s">
        <v>27</v>
      </c>
      <c r="J46" s="21">
        <v>0</v>
      </c>
      <c r="K46" s="21">
        <v>2</v>
      </c>
      <c r="L46" s="21">
        <v>15000</v>
      </c>
      <c r="M46" s="21"/>
      <c r="N46" s="21"/>
      <c r="O46" s="21"/>
      <c r="P46" s="21"/>
      <c r="Q46" s="21"/>
      <c r="R46" s="21">
        <v>31500</v>
      </c>
      <c r="S46" s="21"/>
      <c r="T46" s="21"/>
      <c r="U46" s="21"/>
      <c r="V46" s="21"/>
    </row>
    <row r="47" spans="1:22" ht="30" customHeight="1" x14ac:dyDescent="0.3">
      <c r="A47" s="21">
        <v>46</v>
      </c>
      <c r="B47" s="21" t="s">
        <v>280</v>
      </c>
      <c r="C47" s="21" t="s">
        <v>281</v>
      </c>
      <c r="D47" s="21" t="s">
        <v>282</v>
      </c>
      <c r="E47" s="23" t="s">
        <v>283</v>
      </c>
      <c r="F47" s="21" t="s">
        <v>160</v>
      </c>
      <c r="G47" s="21" t="s">
        <v>25</v>
      </c>
      <c r="H47" s="44" t="s">
        <v>20</v>
      </c>
      <c r="I47" s="21" t="s">
        <v>27</v>
      </c>
      <c r="J47" s="21">
        <v>1</v>
      </c>
      <c r="K47" s="21">
        <v>1</v>
      </c>
      <c r="L47" s="21"/>
      <c r="M47" s="21">
        <v>8</v>
      </c>
      <c r="N47" s="21">
        <v>5</v>
      </c>
      <c r="O47" s="21"/>
      <c r="P47" s="21">
        <v>4</v>
      </c>
      <c r="Q47" s="21"/>
      <c r="R47" s="21"/>
      <c r="S47" s="21"/>
      <c r="T47" s="21"/>
      <c r="U47" s="21">
        <v>15000</v>
      </c>
      <c r="V47" s="21"/>
    </row>
    <row r="48" spans="1:22" ht="30" customHeight="1" x14ac:dyDescent="0.3">
      <c r="A48" s="21">
        <v>47</v>
      </c>
      <c r="B48" s="21" t="s">
        <v>284</v>
      </c>
      <c r="C48" s="21" t="s">
        <v>285</v>
      </c>
      <c r="D48" s="21" t="s">
        <v>286</v>
      </c>
      <c r="E48" s="23" t="s">
        <v>287</v>
      </c>
      <c r="F48" s="21" t="s">
        <v>185</v>
      </c>
      <c r="G48" s="21" t="s">
        <v>25</v>
      </c>
      <c r="H48" s="44" t="s">
        <v>20</v>
      </c>
      <c r="I48" s="21" t="s">
        <v>27</v>
      </c>
      <c r="J48" s="21">
        <v>2</v>
      </c>
      <c r="K48" s="21">
        <v>5</v>
      </c>
      <c r="L48" s="21"/>
      <c r="M48" s="21">
        <v>8</v>
      </c>
      <c r="N48" s="21"/>
      <c r="O48" s="21">
        <v>3</v>
      </c>
      <c r="P48" s="21"/>
      <c r="Q48" s="21"/>
      <c r="R48" s="21">
        <v>25000</v>
      </c>
      <c r="S48" s="21"/>
      <c r="T48" s="21"/>
      <c r="U48" s="21"/>
      <c r="V48" s="21"/>
    </row>
    <row r="49" spans="1:22" ht="30" customHeight="1" x14ac:dyDescent="0.3">
      <c r="A49" s="21">
        <v>48</v>
      </c>
      <c r="B49" s="21" t="s">
        <v>288</v>
      </c>
      <c r="C49" s="21" t="s">
        <v>289</v>
      </c>
      <c r="D49" s="21" t="s">
        <v>286</v>
      </c>
      <c r="E49" s="23" t="s">
        <v>290</v>
      </c>
      <c r="F49" s="21" t="s">
        <v>206</v>
      </c>
      <c r="G49" s="21" t="s">
        <v>26</v>
      </c>
      <c r="H49" s="44" t="s">
        <v>20</v>
      </c>
      <c r="I49" s="21" t="s">
        <v>27</v>
      </c>
      <c r="J49" s="21">
        <v>0</v>
      </c>
      <c r="K49" s="21">
        <v>2</v>
      </c>
      <c r="L49" s="21">
        <v>9500</v>
      </c>
      <c r="M49" s="21"/>
      <c r="N49" s="21"/>
      <c r="O49" s="21"/>
      <c r="P49" s="21"/>
      <c r="Q49" s="21">
        <v>5000</v>
      </c>
      <c r="R49" s="21"/>
      <c r="S49" s="21">
        <v>25000</v>
      </c>
      <c r="T49" s="21">
        <v>3000</v>
      </c>
      <c r="U49" s="21">
        <v>14500</v>
      </c>
      <c r="V49" s="21"/>
    </row>
    <row r="50" spans="1:22" ht="30" customHeight="1" x14ac:dyDescent="0.3">
      <c r="A50" s="21">
        <v>49</v>
      </c>
      <c r="B50" s="21" t="s">
        <v>291</v>
      </c>
      <c r="C50" s="21" t="s">
        <v>292</v>
      </c>
      <c r="D50" s="21" t="s">
        <v>293</v>
      </c>
      <c r="E50" s="23" t="s">
        <v>294</v>
      </c>
      <c r="F50" s="21" t="s">
        <v>93</v>
      </c>
      <c r="G50" s="21" t="s">
        <v>25</v>
      </c>
      <c r="H50" s="44" t="s">
        <v>20</v>
      </c>
      <c r="I50" s="21" t="s">
        <v>27</v>
      </c>
      <c r="J50" s="21">
        <v>2</v>
      </c>
      <c r="K50" s="21">
        <v>5</v>
      </c>
      <c r="L50" s="21"/>
      <c r="M50" s="21">
        <v>8</v>
      </c>
      <c r="N50" s="21"/>
      <c r="O50" s="21"/>
      <c r="P50" s="21"/>
      <c r="Q50" s="21"/>
      <c r="R50" s="21"/>
      <c r="S50" s="21"/>
      <c r="T50" s="21"/>
      <c r="U50" s="21"/>
      <c r="V50" s="21"/>
    </row>
    <row r="51" spans="1:22" ht="30" customHeight="1" x14ac:dyDescent="0.3">
      <c r="A51" s="21">
        <v>50</v>
      </c>
      <c r="B51" s="21" t="s">
        <v>295</v>
      </c>
      <c r="C51" s="21" t="s">
        <v>296</v>
      </c>
      <c r="D51" s="21" t="s">
        <v>297</v>
      </c>
      <c r="E51" s="23" t="s">
        <v>298</v>
      </c>
      <c r="F51" s="21" t="s">
        <v>182</v>
      </c>
      <c r="G51" s="21" t="s">
        <v>25</v>
      </c>
      <c r="H51" s="44" t="s">
        <v>20</v>
      </c>
      <c r="I51" s="21" t="s">
        <v>28</v>
      </c>
      <c r="J51" s="21">
        <v>0</v>
      </c>
      <c r="K51" s="21">
        <v>0</v>
      </c>
      <c r="L51" s="21"/>
      <c r="M51" s="21">
        <v>8</v>
      </c>
      <c r="N51" s="21">
        <v>2</v>
      </c>
      <c r="O51" s="21">
        <v>3</v>
      </c>
      <c r="P51" s="21"/>
      <c r="Q51" s="21">
        <v>7000</v>
      </c>
      <c r="R51" s="21"/>
      <c r="S51" s="21"/>
      <c r="T51" s="21">
        <v>3000</v>
      </c>
      <c r="U51" s="21">
        <v>13500</v>
      </c>
      <c r="V51" s="21"/>
    </row>
  </sheetData>
  <conditionalFormatting sqref="H1:H1048576">
    <cfRule type="colorScale" priority="5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conditionalFormatting sqref="H2:H51">
    <cfRule type="containsText" dxfId="8" priority="1" operator="containsText" text="C">
      <formula>NOT(ISERROR(SEARCH("C",H2)))</formula>
    </cfRule>
    <cfRule type="containsText" dxfId="7" priority="2" operator="containsText" text="B">
      <formula>NOT(ISERROR(SEARCH("B",H2)))</formula>
    </cfRule>
    <cfRule type="containsText" dxfId="6" priority="3" operator="containsText" text="A">
      <formula>NOT(ISERROR(SEARCH("A",H2)))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9"/>
  <dimension ref="A1:N51"/>
  <sheetViews>
    <sheetView workbookViewId="0">
      <selection activeCell="M1" sqref="M1:N1048576"/>
    </sheetView>
  </sheetViews>
  <sheetFormatPr defaultColWidth="10.76171875" defaultRowHeight="15" x14ac:dyDescent="0.2"/>
  <cols>
    <col min="10" max="10" width="14.796875" customWidth="1"/>
  </cols>
  <sheetData>
    <row r="1" spans="1:14" x14ac:dyDescent="0.2">
      <c r="A1" t="s">
        <v>4</v>
      </c>
      <c r="B1" t="s">
        <v>324</v>
      </c>
      <c r="D1" t="s">
        <v>10</v>
      </c>
      <c r="E1" t="s">
        <v>11</v>
      </c>
      <c r="F1" t="s">
        <v>8</v>
      </c>
      <c r="G1" t="s">
        <v>9</v>
      </c>
      <c r="H1" t="s">
        <v>12</v>
      </c>
      <c r="I1" t="s">
        <v>325</v>
      </c>
      <c r="J1" t="s">
        <v>326</v>
      </c>
      <c r="K1" t="s">
        <v>7</v>
      </c>
      <c r="L1" t="s">
        <v>31</v>
      </c>
      <c r="M1" t="s">
        <v>32</v>
      </c>
      <c r="N1" t="s">
        <v>33</v>
      </c>
    </row>
    <row r="2" spans="1:14" x14ac:dyDescent="0.2">
      <c r="A2" t="s">
        <v>20</v>
      </c>
      <c r="B2" t="str">
        <f>IF(A2="A","2711",
IF(A2="B","2020",
IF(A2="C","1385",0)))</f>
        <v>2020</v>
      </c>
      <c r="G2">
        <v>4</v>
      </c>
      <c r="I2">
        <f>(D2*B2*1.15)+(B2*E2*1.4)+(B2*F2*1.6)+(B2*G2*2)</f>
        <v>16160</v>
      </c>
      <c r="J2">
        <f>173.33*B2</f>
        <v>350126.60000000003</v>
      </c>
      <c r="L2">
        <f>+SUM(H2:K2)</f>
        <v>366286.60000000003</v>
      </c>
      <c r="M2">
        <f>MIN(L2,360000)*0.14*0.4</f>
        <v>20160.000000000004</v>
      </c>
      <c r="N2" t="b">
        <f>+IF(L2&gt;=1080000,"0")</f>
        <v>0</v>
      </c>
    </row>
    <row r="3" spans="1:14" x14ac:dyDescent="0.2">
      <c r="A3" t="s">
        <v>20</v>
      </c>
      <c r="B3" s="3" t="str">
        <f t="shared" ref="B3:B51" si="0">IF(A3="A","2711",
IF(A3="B","2020",
IF(A3="C","1385",0)))</f>
        <v>2020</v>
      </c>
      <c r="D3">
        <v>8</v>
      </c>
      <c r="E3">
        <v>4</v>
      </c>
      <c r="G3">
        <v>3</v>
      </c>
      <c r="H3">
        <v>15000</v>
      </c>
      <c r="I3" s="3">
        <f t="shared" ref="I3:I51" si="1">(D3*B3*1.15)+(B3*E3*1.4)+(B3*F3*1.6)+(B3*G3*2)</f>
        <v>42016</v>
      </c>
      <c r="J3" s="3">
        <f t="shared" ref="J3:J51" si="2">173.33*B3</f>
        <v>350126.60000000003</v>
      </c>
      <c r="L3" s="3">
        <f t="shared" ref="L3:L51" si="3">+SUM(H3:K3)</f>
        <v>407142.60000000003</v>
      </c>
      <c r="M3" s="3">
        <f t="shared" ref="M3:M51" si="4">MIN(L3,360000)*0.14*0.4</f>
        <v>20160.000000000004</v>
      </c>
      <c r="N3" s="3" t="b">
        <f t="shared" ref="N3:N51" si="5">+IF(L3&gt;=1080000,"0")</f>
        <v>0</v>
      </c>
    </row>
    <row r="4" spans="1:14" x14ac:dyDescent="0.2">
      <c r="A4" t="s">
        <v>20</v>
      </c>
      <c r="B4" s="3" t="str">
        <f t="shared" si="0"/>
        <v>2020</v>
      </c>
      <c r="F4">
        <v>6</v>
      </c>
      <c r="G4">
        <v>2</v>
      </c>
      <c r="I4" s="3">
        <f t="shared" si="1"/>
        <v>27472</v>
      </c>
      <c r="J4" s="3">
        <f t="shared" si="2"/>
        <v>350126.60000000003</v>
      </c>
      <c r="L4" s="3">
        <f t="shared" si="3"/>
        <v>377598.60000000003</v>
      </c>
      <c r="M4" s="3">
        <f t="shared" si="4"/>
        <v>20160.000000000004</v>
      </c>
      <c r="N4" s="3" t="b">
        <f t="shared" si="5"/>
        <v>0</v>
      </c>
    </row>
    <row r="5" spans="1:14" x14ac:dyDescent="0.2">
      <c r="A5" t="s">
        <v>21</v>
      </c>
      <c r="B5" s="3" t="str">
        <f t="shared" si="0"/>
        <v>1385</v>
      </c>
      <c r="D5">
        <v>8</v>
      </c>
      <c r="E5">
        <v>4</v>
      </c>
      <c r="H5">
        <v>10000</v>
      </c>
      <c r="I5" s="3">
        <f t="shared" si="1"/>
        <v>20497.999999999996</v>
      </c>
      <c r="J5" s="3">
        <f t="shared" si="2"/>
        <v>240062.05000000002</v>
      </c>
      <c r="L5" s="3">
        <f t="shared" si="3"/>
        <v>270560.05</v>
      </c>
      <c r="M5" s="3">
        <f t="shared" si="4"/>
        <v>15151.362800000001</v>
      </c>
      <c r="N5" s="3" t="b">
        <f t="shared" si="5"/>
        <v>0</v>
      </c>
    </row>
    <row r="6" spans="1:14" x14ac:dyDescent="0.2">
      <c r="A6" t="s">
        <v>21</v>
      </c>
      <c r="B6" s="3" t="str">
        <f t="shared" si="0"/>
        <v>1385</v>
      </c>
      <c r="D6">
        <v>8</v>
      </c>
      <c r="E6">
        <v>4</v>
      </c>
      <c r="F6">
        <v>4</v>
      </c>
      <c r="G6">
        <v>2</v>
      </c>
      <c r="I6" s="3">
        <f t="shared" si="1"/>
        <v>34902</v>
      </c>
      <c r="J6" s="3">
        <f t="shared" si="2"/>
        <v>240062.05000000002</v>
      </c>
      <c r="K6">
        <v>15000</v>
      </c>
      <c r="L6" s="3">
        <f t="shared" si="3"/>
        <v>289964.05000000005</v>
      </c>
      <c r="M6" s="3">
        <f t="shared" si="4"/>
        <v>16237.986800000006</v>
      </c>
      <c r="N6" s="3" t="b">
        <f t="shared" si="5"/>
        <v>0</v>
      </c>
    </row>
    <row r="7" spans="1:14" x14ac:dyDescent="0.2">
      <c r="A7" t="s">
        <v>21</v>
      </c>
      <c r="B7" s="3" t="str">
        <f t="shared" si="0"/>
        <v>1385</v>
      </c>
      <c r="I7" s="3">
        <f t="shared" si="1"/>
        <v>0</v>
      </c>
      <c r="J7" s="3">
        <f t="shared" si="2"/>
        <v>240062.05000000002</v>
      </c>
      <c r="L7" s="3">
        <f t="shared" si="3"/>
        <v>240062.05000000002</v>
      </c>
      <c r="M7" s="3">
        <f t="shared" si="4"/>
        <v>13443.474800000004</v>
      </c>
      <c r="N7" s="3" t="b">
        <f t="shared" si="5"/>
        <v>0</v>
      </c>
    </row>
    <row r="8" spans="1:14" x14ac:dyDescent="0.2">
      <c r="A8" t="s">
        <v>19</v>
      </c>
      <c r="B8" s="3" t="str">
        <f t="shared" si="0"/>
        <v>2711</v>
      </c>
      <c r="H8">
        <v>10000</v>
      </c>
      <c r="I8" s="3">
        <f t="shared" si="1"/>
        <v>0</v>
      </c>
      <c r="J8" s="3">
        <f t="shared" si="2"/>
        <v>469897.63000000006</v>
      </c>
      <c r="L8" s="3">
        <f t="shared" si="3"/>
        <v>479897.63000000006</v>
      </c>
      <c r="M8" s="3">
        <f t="shared" si="4"/>
        <v>20160.000000000004</v>
      </c>
      <c r="N8" s="3" t="b">
        <f t="shared" si="5"/>
        <v>0</v>
      </c>
    </row>
    <row r="9" spans="1:14" x14ac:dyDescent="0.2">
      <c r="A9" t="s">
        <v>19</v>
      </c>
      <c r="B9" s="3" t="str">
        <f t="shared" si="0"/>
        <v>2711</v>
      </c>
      <c r="I9" s="3">
        <f t="shared" si="1"/>
        <v>0</v>
      </c>
      <c r="J9" s="3">
        <f t="shared" si="2"/>
        <v>469897.63000000006</v>
      </c>
      <c r="L9" s="3">
        <f t="shared" si="3"/>
        <v>469897.63000000006</v>
      </c>
      <c r="M9" s="3">
        <f t="shared" si="4"/>
        <v>20160.000000000004</v>
      </c>
      <c r="N9" s="3" t="b">
        <f t="shared" si="5"/>
        <v>0</v>
      </c>
    </row>
    <row r="10" spans="1:14" x14ac:dyDescent="0.2">
      <c r="A10" t="s">
        <v>19</v>
      </c>
      <c r="B10" s="3" t="str">
        <f t="shared" si="0"/>
        <v>2711</v>
      </c>
      <c r="I10" s="3">
        <f t="shared" si="1"/>
        <v>0</v>
      </c>
      <c r="J10" s="3">
        <f t="shared" si="2"/>
        <v>469897.63000000006</v>
      </c>
      <c r="L10" s="3">
        <f t="shared" si="3"/>
        <v>469897.63000000006</v>
      </c>
      <c r="M10" s="3">
        <f t="shared" si="4"/>
        <v>20160.000000000004</v>
      </c>
      <c r="N10" s="3" t="b">
        <f t="shared" si="5"/>
        <v>0</v>
      </c>
    </row>
    <row r="11" spans="1:14" x14ac:dyDescent="0.2">
      <c r="A11" t="s">
        <v>19</v>
      </c>
      <c r="B11" s="3" t="str">
        <f t="shared" si="0"/>
        <v>2711</v>
      </c>
      <c r="I11" s="3">
        <f t="shared" si="1"/>
        <v>0</v>
      </c>
      <c r="J11" s="3">
        <f t="shared" si="2"/>
        <v>469897.63000000006</v>
      </c>
      <c r="L11" s="3">
        <f t="shared" si="3"/>
        <v>469897.63000000006</v>
      </c>
      <c r="M11" s="3">
        <f t="shared" si="4"/>
        <v>20160.000000000004</v>
      </c>
      <c r="N11" s="3" t="b">
        <f t="shared" si="5"/>
        <v>0</v>
      </c>
    </row>
    <row r="12" spans="1:14" x14ac:dyDescent="0.2">
      <c r="A12" t="s">
        <v>20</v>
      </c>
      <c r="B12" s="3" t="str">
        <f t="shared" si="0"/>
        <v>2020</v>
      </c>
      <c r="D12">
        <v>8</v>
      </c>
      <c r="F12">
        <v>3</v>
      </c>
      <c r="G12">
        <v>2</v>
      </c>
      <c r="I12" s="3">
        <f t="shared" si="1"/>
        <v>36360</v>
      </c>
      <c r="J12" s="3">
        <f t="shared" si="2"/>
        <v>350126.60000000003</v>
      </c>
      <c r="L12" s="3">
        <f t="shared" si="3"/>
        <v>386486.60000000003</v>
      </c>
      <c r="M12" s="3">
        <f t="shared" si="4"/>
        <v>20160.000000000004</v>
      </c>
      <c r="N12" s="3" t="b">
        <f t="shared" si="5"/>
        <v>0</v>
      </c>
    </row>
    <row r="13" spans="1:14" x14ac:dyDescent="0.2">
      <c r="A13" t="s">
        <v>20</v>
      </c>
      <c r="B13" s="3" t="str">
        <f t="shared" si="0"/>
        <v>2020</v>
      </c>
      <c r="F13">
        <v>2</v>
      </c>
      <c r="I13" s="3">
        <f t="shared" si="1"/>
        <v>6464</v>
      </c>
      <c r="J13" s="3">
        <f t="shared" si="2"/>
        <v>350126.60000000003</v>
      </c>
      <c r="L13" s="3">
        <f t="shared" si="3"/>
        <v>356590.60000000003</v>
      </c>
      <c r="M13" s="3">
        <f t="shared" si="4"/>
        <v>19969.073600000003</v>
      </c>
      <c r="N13" s="3" t="b">
        <f t="shared" si="5"/>
        <v>0</v>
      </c>
    </row>
    <row r="14" spans="1:14" x14ac:dyDescent="0.2">
      <c r="A14" t="s">
        <v>20</v>
      </c>
      <c r="B14" s="3" t="str">
        <f t="shared" si="0"/>
        <v>2020</v>
      </c>
      <c r="D14">
        <v>8</v>
      </c>
      <c r="E14">
        <v>5</v>
      </c>
      <c r="F14">
        <v>3</v>
      </c>
      <c r="G14">
        <v>3</v>
      </c>
      <c r="I14" s="3">
        <f t="shared" si="1"/>
        <v>54540</v>
      </c>
      <c r="J14" s="3">
        <f t="shared" si="2"/>
        <v>350126.60000000003</v>
      </c>
      <c r="L14" s="3">
        <f t="shared" si="3"/>
        <v>404666.60000000003</v>
      </c>
      <c r="M14" s="3">
        <f t="shared" si="4"/>
        <v>20160.000000000004</v>
      </c>
      <c r="N14" s="3" t="b">
        <f t="shared" si="5"/>
        <v>0</v>
      </c>
    </row>
    <row r="15" spans="1:14" x14ac:dyDescent="0.2">
      <c r="A15" t="s">
        <v>21</v>
      </c>
      <c r="B15" s="3" t="str">
        <f t="shared" si="0"/>
        <v>1385</v>
      </c>
      <c r="I15" s="3">
        <f t="shared" si="1"/>
        <v>0</v>
      </c>
      <c r="J15" s="3">
        <f t="shared" si="2"/>
        <v>240062.05000000002</v>
      </c>
      <c r="L15" s="3">
        <f t="shared" si="3"/>
        <v>240062.05000000002</v>
      </c>
      <c r="M15" s="3">
        <f t="shared" si="4"/>
        <v>13443.474800000004</v>
      </c>
      <c r="N15" s="3" t="b">
        <f t="shared" si="5"/>
        <v>0</v>
      </c>
    </row>
    <row r="16" spans="1:14" x14ac:dyDescent="0.2">
      <c r="A16" t="s">
        <v>21</v>
      </c>
      <c r="B16" s="3" t="str">
        <f t="shared" si="0"/>
        <v>1385</v>
      </c>
      <c r="E16">
        <v>5</v>
      </c>
      <c r="F16">
        <v>5</v>
      </c>
      <c r="I16" s="3">
        <f t="shared" si="1"/>
        <v>20775</v>
      </c>
      <c r="J16" s="3">
        <f t="shared" si="2"/>
        <v>240062.05000000002</v>
      </c>
      <c r="L16" s="3">
        <f t="shared" si="3"/>
        <v>260837.05000000002</v>
      </c>
      <c r="M16" s="3">
        <f t="shared" si="4"/>
        <v>14606.874800000003</v>
      </c>
      <c r="N16" s="3" t="b">
        <f t="shared" si="5"/>
        <v>0</v>
      </c>
    </row>
    <row r="17" spans="1:14" x14ac:dyDescent="0.2">
      <c r="A17" t="s">
        <v>21</v>
      </c>
      <c r="B17" s="3" t="str">
        <f t="shared" si="0"/>
        <v>1385</v>
      </c>
      <c r="D17">
        <v>8</v>
      </c>
      <c r="G17">
        <v>6</v>
      </c>
      <c r="H17">
        <v>10000</v>
      </c>
      <c r="I17" s="3">
        <f t="shared" si="1"/>
        <v>29362</v>
      </c>
      <c r="J17" s="3">
        <f t="shared" si="2"/>
        <v>240062.05000000002</v>
      </c>
      <c r="L17" s="3">
        <f t="shared" si="3"/>
        <v>279424.05000000005</v>
      </c>
      <c r="M17" s="3">
        <f t="shared" si="4"/>
        <v>15647.746800000006</v>
      </c>
      <c r="N17" s="3" t="b">
        <f t="shared" si="5"/>
        <v>0</v>
      </c>
    </row>
    <row r="18" spans="1:14" x14ac:dyDescent="0.2">
      <c r="A18" t="s">
        <v>21</v>
      </c>
      <c r="B18" s="3" t="str">
        <f t="shared" si="0"/>
        <v>1385</v>
      </c>
      <c r="E18">
        <v>2</v>
      </c>
      <c r="F18">
        <v>5</v>
      </c>
      <c r="I18" s="3">
        <f t="shared" si="1"/>
        <v>14958</v>
      </c>
      <c r="J18" s="3">
        <f t="shared" si="2"/>
        <v>240062.05000000002</v>
      </c>
      <c r="L18" s="3">
        <f t="shared" si="3"/>
        <v>255020.05000000002</v>
      </c>
      <c r="M18" s="3">
        <f t="shared" si="4"/>
        <v>14281.122800000005</v>
      </c>
      <c r="N18" s="3" t="b">
        <f t="shared" si="5"/>
        <v>0</v>
      </c>
    </row>
    <row r="19" spans="1:14" x14ac:dyDescent="0.2">
      <c r="A19" t="s">
        <v>19</v>
      </c>
      <c r="B19" s="3" t="str">
        <f t="shared" si="0"/>
        <v>2711</v>
      </c>
      <c r="H19">
        <v>10000</v>
      </c>
      <c r="I19" s="3">
        <f t="shared" si="1"/>
        <v>0</v>
      </c>
      <c r="J19" s="3">
        <f t="shared" si="2"/>
        <v>469897.63000000006</v>
      </c>
      <c r="L19" s="3">
        <f t="shared" si="3"/>
        <v>479897.63000000006</v>
      </c>
      <c r="M19" s="3">
        <f t="shared" si="4"/>
        <v>20160.000000000004</v>
      </c>
      <c r="N19" s="3" t="b">
        <f t="shared" si="5"/>
        <v>0</v>
      </c>
    </row>
    <row r="20" spans="1:14" x14ac:dyDescent="0.2">
      <c r="A20" t="s">
        <v>21</v>
      </c>
      <c r="B20" s="3" t="str">
        <f t="shared" si="0"/>
        <v>1385</v>
      </c>
      <c r="G20">
        <v>8</v>
      </c>
      <c r="I20" s="3">
        <f t="shared" si="1"/>
        <v>22160</v>
      </c>
      <c r="J20" s="3">
        <f t="shared" si="2"/>
        <v>240062.05000000002</v>
      </c>
      <c r="L20" s="3">
        <f t="shared" si="3"/>
        <v>262222.05000000005</v>
      </c>
      <c r="M20" s="3">
        <f t="shared" si="4"/>
        <v>14684.434800000003</v>
      </c>
      <c r="N20" s="3" t="b">
        <f t="shared" si="5"/>
        <v>0</v>
      </c>
    </row>
    <row r="21" spans="1:14" x14ac:dyDescent="0.2">
      <c r="A21" t="s">
        <v>20</v>
      </c>
      <c r="B21" s="3" t="str">
        <f t="shared" si="0"/>
        <v>2020</v>
      </c>
      <c r="D21">
        <v>8</v>
      </c>
      <c r="E21">
        <v>3</v>
      </c>
      <c r="I21" s="3">
        <f t="shared" si="1"/>
        <v>27068</v>
      </c>
      <c r="J21" s="3">
        <f t="shared" si="2"/>
        <v>350126.60000000003</v>
      </c>
      <c r="K21">
        <v>13500</v>
      </c>
      <c r="L21" s="3">
        <f t="shared" si="3"/>
        <v>390694.60000000003</v>
      </c>
      <c r="M21" s="3">
        <f t="shared" si="4"/>
        <v>20160.000000000004</v>
      </c>
      <c r="N21" s="3" t="b">
        <f t="shared" si="5"/>
        <v>0</v>
      </c>
    </row>
    <row r="22" spans="1:14" x14ac:dyDescent="0.2">
      <c r="A22" t="s">
        <v>20</v>
      </c>
      <c r="B22" s="3" t="str">
        <f t="shared" si="0"/>
        <v>2020</v>
      </c>
      <c r="D22">
        <v>8</v>
      </c>
      <c r="E22">
        <v>4</v>
      </c>
      <c r="F22">
        <v>4</v>
      </c>
      <c r="G22">
        <v>6</v>
      </c>
      <c r="I22" s="3">
        <f t="shared" si="1"/>
        <v>67064</v>
      </c>
      <c r="J22" s="3">
        <f t="shared" si="2"/>
        <v>350126.60000000003</v>
      </c>
      <c r="L22" s="3">
        <f t="shared" si="3"/>
        <v>417190.60000000003</v>
      </c>
      <c r="M22" s="3">
        <f t="shared" si="4"/>
        <v>20160.000000000004</v>
      </c>
      <c r="N22" s="3" t="b">
        <f t="shared" si="5"/>
        <v>0</v>
      </c>
    </row>
    <row r="23" spans="1:14" x14ac:dyDescent="0.2">
      <c r="A23" t="s">
        <v>20</v>
      </c>
      <c r="B23" s="3" t="str">
        <f t="shared" si="0"/>
        <v>2020</v>
      </c>
      <c r="H23">
        <v>10000</v>
      </c>
      <c r="I23" s="3">
        <f t="shared" si="1"/>
        <v>0</v>
      </c>
      <c r="J23" s="3">
        <f t="shared" si="2"/>
        <v>350126.60000000003</v>
      </c>
      <c r="L23" s="3">
        <f t="shared" si="3"/>
        <v>360126.60000000003</v>
      </c>
      <c r="M23" s="3">
        <f t="shared" si="4"/>
        <v>20160.000000000004</v>
      </c>
      <c r="N23" s="3" t="b">
        <f t="shared" si="5"/>
        <v>0</v>
      </c>
    </row>
    <row r="24" spans="1:14" x14ac:dyDescent="0.2">
      <c r="A24" t="s">
        <v>21</v>
      </c>
      <c r="B24" s="3" t="str">
        <f t="shared" si="0"/>
        <v>1385</v>
      </c>
      <c r="F24">
        <v>3</v>
      </c>
      <c r="G24">
        <v>6</v>
      </c>
      <c r="I24" s="3">
        <f t="shared" si="1"/>
        <v>23268</v>
      </c>
      <c r="J24" s="3">
        <f t="shared" si="2"/>
        <v>240062.05000000002</v>
      </c>
      <c r="L24" s="3">
        <f t="shared" si="3"/>
        <v>263330.05000000005</v>
      </c>
      <c r="M24" s="3">
        <f t="shared" si="4"/>
        <v>14746.482800000005</v>
      </c>
      <c r="N24" s="3" t="b">
        <f t="shared" si="5"/>
        <v>0</v>
      </c>
    </row>
    <row r="25" spans="1:14" x14ac:dyDescent="0.2">
      <c r="A25" t="s">
        <v>21</v>
      </c>
      <c r="B25" s="3" t="str">
        <f t="shared" si="0"/>
        <v>1385</v>
      </c>
      <c r="D25">
        <v>8</v>
      </c>
      <c r="E25">
        <v>5</v>
      </c>
      <c r="F25">
        <v>2</v>
      </c>
      <c r="H25">
        <v>10000</v>
      </c>
      <c r="I25" s="3">
        <f t="shared" si="1"/>
        <v>26869</v>
      </c>
      <c r="J25" s="3">
        <f t="shared" si="2"/>
        <v>240062.05000000002</v>
      </c>
      <c r="L25" s="3">
        <f t="shared" si="3"/>
        <v>276931.05000000005</v>
      </c>
      <c r="M25" s="3">
        <f t="shared" si="4"/>
        <v>15508.138800000004</v>
      </c>
      <c r="N25" s="3" t="b">
        <f t="shared" si="5"/>
        <v>0</v>
      </c>
    </row>
    <row r="26" spans="1:14" x14ac:dyDescent="0.2">
      <c r="A26" t="s">
        <v>21</v>
      </c>
      <c r="B26" s="3" t="str">
        <f t="shared" si="0"/>
        <v>1385</v>
      </c>
      <c r="E26">
        <v>4</v>
      </c>
      <c r="G26">
        <v>5</v>
      </c>
      <c r="I26" s="3">
        <f t="shared" si="1"/>
        <v>21606</v>
      </c>
      <c r="J26" s="3">
        <f t="shared" si="2"/>
        <v>240062.05000000002</v>
      </c>
      <c r="L26" s="3">
        <f t="shared" si="3"/>
        <v>261668.05000000002</v>
      </c>
      <c r="M26" s="3">
        <f t="shared" si="4"/>
        <v>14653.410800000005</v>
      </c>
      <c r="N26" s="3" t="b">
        <f t="shared" si="5"/>
        <v>0</v>
      </c>
    </row>
    <row r="27" spans="1:14" x14ac:dyDescent="0.2">
      <c r="A27" t="s">
        <v>21</v>
      </c>
      <c r="B27" s="3" t="str">
        <f t="shared" si="0"/>
        <v>1385</v>
      </c>
      <c r="D27">
        <v>8</v>
      </c>
      <c r="E27">
        <v>4</v>
      </c>
      <c r="F27">
        <v>5</v>
      </c>
      <c r="G27">
        <v>7</v>
      </c>
      <c r="I27" s="3">
        <f t="shared" si="1"/>
        <v>50968</v>
      </c>
      <c r="J27" s="3">
        <f t="shared" si="2"/>
        <v>240062.05000000002</v>
      </c>
      <c r="K27">
        <v>12000</v>
      </c>
      <c r="L27" s="3">
        <f t="shared" si="3"/>
        <v>303030.05000000005</v>
      </c>
      <c r="M27" s="3">
        <f t="shared" si="4"/>
        <v>16969.682800000006</v>
      </c>
      <c r="N27" s="3" t="b">
        <f t="shared" si="5"/>
        <v>0</v>
      </c>
    </row>
    <row r="28" spans="1:14" x14ac:dyDescent="0.2">
      <c r="A28" t="s">
        <v>19</v>
      </c>
      <c r="B28" s="3" t="str">
        <f t="shared" si="0"/>
        <v>2711</v>
      </c>
      <c r="I28" s="3">
        <f t="shared" si="1"/>
        <v>0</v>
      </c>
      <c r="J28" s="3">
        <f t="shared" si="2"/>
        <v>469897.63000000006</v>
      </c>
      <c r="L28" s="3">
        <f t="shared" si="3"/>
        <v>469897.63000000006</v>
      </c>
      <c r="M28" s="3">
        <f t="shared" si="4"/>
        <v>20160.000000000004</v>
      </c>
      <c r="N28" s="3" t="b">
        <f t="shared" si="5"/>
        <v>0</v>
      </c>
    </row>
    <row r="29" spans="1:14" x14ac:dyDescent="0.2">
      <c r="A29" t="s">
        <v>20</v>
      </c>
      <c r="B29" s="3" t="str">
        <f t="shared" si="0"/>
        <v>2020</v>
      </c>
      <c r="D29">
        <v>8</v>
      </c>
      <c r="E29">
        <v>2</v>
      </c>
      <c r="G29">
        <v>5</v>
      </c>
      <c r="I29" s="3">
        <f t="shared" si="1"/>
        <v>44440</v>
      </c>
      <c r="J29" s="3">
        <f t="shared" si="2"/>
        <v>350126.60000000003</v>
      </c>
      <c r="L29" s="3">
        <f t="shared" si="3"/>
        <v>394566.60000000003</v>
      </c>
      <c r="M29" s="3">
        <f t="shared" si="4"/>
        <v>20160.000000000004</v>
      </c>
      <c r="N29" s="3" t="b">
        <f t="shared" si="5"/>
        <v>0</v>
      </c>
    </row>
    <row r="30" spans="1:14" x14ac:dyDescent="0.2">
      <c r="A30" t="s">
        <v>19</v>
      </c>
      <c r="B30" s="3" t="str">
        <f t="shared" si="0"/>
        <v>2711</v>
      </c>
      <c r="H30">
        <v>10000</v>
      </c>
      <c r="I30" s="3">
        <f t="shared" si="1"/>
        <v>0</v>
      </c>
      <c r="J30" s="3">
        <f t="shared" si="2"/>
        <v>469897.63000000006</v>
      </c>
      <c r="L30" s="3">
        <f t="shared" si="3"/>
        <v>479897.63000000006</v>
      </c>
      <c r="M30" s="3">
        <f t="shared" si="4"/>
        <v>20160.000000000004</v>
      </c>
      <c r="N30" s="3" t="b">
        <f t="shared" si="5"/>
        <v>0</v>
      </c>
    </row>
    <row r="31" spans="1:14" x14ac:dyDescent="0.2">
      <c r="A31" t="s">
        <v>19</v>
      </c>
      <c r="B31" s="3" t="str">
        <f t="shared" si="0"/>
        <v>2711</v>
      </c>
      <c r="H31">
        <v>8000</v>
      </c>
      <c r="I31" s="3">
        <f t="shared" si="1"/>
        <v>0</v>
      </c>
      <c r="J31" s="3">
        <f t="shared" si="2"/>
        <v>469897.63000000006</v>
      </c>
      <c r="L31" s="3">
        <f t="shared" si="3"/>
        <v>477897.63000000006</v>
      </c>
      <c r="M31" s="3">
        <f t="shared" si="4"/>
        <v>20160.000000000004</v>
      </c>
      <c r="N31" s="3" t="b">
        <f t="shared" si="5"/>
        <v>0</v>
      </c>
    </row>
    <row r="32" spans="1:14" x14ac:dyDescent="0.2">
      <c r="A32" t="s">
        <v>19</v>
      </c>
      <c r="B32" s="3" t="str">
        <f t="shared" si="0"/>
        <v>2711</v>
      </c>
      <c r="I32" s="3">
        <f t="shared" si="1"/>
        <v>0</v>
      </c>
      <c r="J32" s="3">
        <f t="shared" si="2"/>
        <v>469897.63000000006</v>
      </c>
      <c r="L32" s="3">
        <f t="shared" si="3"/>
        <v>469897.63000000006</v>
      </c>
      <c r="M32" s="3">
        <f t="shared" si="4"/>
        <v>20160.000000000004</v>
      </c>
      <c r="N32" s="3" t="b">
        <f t="shared" si="5"/>
        <v>0</v>
      </c>
    </row>
    <row r="33" spans="1:14" x14ac:dyDescent="0.2">
      <c r="A33" t="s">
        <v>20</v>
      </c>
      <c r="B33" s="3" t="str">
        <f t="shared" si="0"/>
        <v>2020</v>
      </c>
      <c r="D33">
        <v>8</v>
      </c>
      <c r="G33">
        <v>3</v>
      </c>
      <c r="I33" s="3">
        <f t="shared" si="1"/>
        <v>30704</v>
      </c>
      <c r="J33" s="3">
        <f t="shared" si="2"/>
        <v>350126.60000000003</v>
      </c>
      <c r="L33" s="3">
        <f t="shared" si="3"/>
        <v>380830.60000000003</v>
      </c>
      <c r="M33" s="3">
        <f t="shared" si="4"/>
        <v>20160.000000000004</v>
      </c>
      <c r="N33" s="3" t="b">
        <f t="shared" si="5"/>
        <v>0</v>
      </c>
    </row>
    <row r="34" spans="1:14" x14ac:dyDescent="0.2">
      <c r="A34" t="s">
        <v>20</v>
      </c>
      <c r="B34" s="3" t="str">
        <f t="shared" si="0"/>
        <v>2020</v>
      </c>
      <c r="G34">
        <v>6</v>
      </c>
      <c r="I34" s="3">
        <f t="shared" si="1"/>
        <v>24240</v>
      </c>
      <c r="J34" s="3">
        <f t="shared" si="2"/>
        <v>350126.60000000003</v>
      </c>
      <c r="L34" s="3">
        <f t="shared" si="3"/>
        <v>374366.60000000003</v>
      </c>
      <c r="M34" s="3">
        <f t="shared" si="4"/>
        <v>20160.000000000004</v>
      </c>
      <c r="N34" s="3" t="b">
        <f t="shared" si="5"/>
        <v>0</v>
      </c>
    </row>
    <row r="35" spans="1:14" x14ac:dyDescent="0.2">
      <c r="A35" t="s">
        <v>20</v>
      </c>
      <c r="B35" s="3" t="str">
        <f t="shared" si="0"/>
        <v>2020</v>
      </c>
      <c r="D35">
        <v>8</v>
      </c>
      <c r="I35" s="3">
        <f t="shared" si="1"/>
        <v>18584</v>
      </c>
      <c r="J35" s="3">
        <f t="shared" si="2"/>
        <v>350126.60000000003</v>
      </c>
      <c r="L35" s="3">
        <f t="shared" si="3"/>
        <v>368710.60000000003</v>
      </c>
      <c r="M35" s="3">
        <f t="shared" si="4"/>
        <v>20160.000000000004</v>
      </c>
      <c r="N35" s="3" t="b">
        <f t="shared" si="5"/>
        <v>0</v>
      </c>
    </row>
    <row r="36" spans="1:14" x14ac:dyDescent="0.2">
      <c r="A36" t="s">
        <v>20</v>
      </c>
      <c r="B36" s="3" t="str">
        <f t="shared" si="0"/>
        <v>2020</v>
      </c>
      <c r="G36">
        <v>2</v>
      </c>
      <c r="I36" s="3">
        <f t="shared" si="1"/>
        <v>8080</v>
      </c>
      <c r="J36" s="3">
        <f t="shared" si="2"/>
        <v>350126.60000000003</v>
      </c>
      <c r="L36" s="3">
        <f t="shared" si="3"/>
        <v>358206.60000000003</v>
      </c>
      <c r="M36" s="3">
        <f t="shared" si="4"/>
        <v>20059.569600000003</v>
      </c>
      <c r="N36" s="3" t="b">
        <f t="shared" si="5"/>
        <v>0</v>
      </c>
    </row>
    <row r="37" spans="1:14" x14ac:dyDescent="0.2">
      <c r="A37" t="s">
        <v>20</v>
      </c>
      <c r="B37" s="3" t="str">
        <f t="shared" si="0"/>
        <v>2020</v>
      </c>
      <c r="G37">
        <v>4</v>
      </c>
      <c r="I37" s="3">
        <f t="shared" si="1"/>
        <v>16160</v>
      </c>
      <c r="J37" s="3">
        <f t="shared" si="2"/>
        <v>350126.60000000003</v>
      </c>
      <c r="L37" s="3">
        <f t="shared" si="3"/>
        <v>366286.60000000003</v>
      </c>
      <c r="M37" s="3">
        <f t="shared" si="4"/>
        <v>20160.000000000004</v>
      </c>
      <c r="N37" s="3" t="b">
        <f t="shared" si="5"/>
        <v>0</v>
      </c>
    </row>
    <row r="38" spans="1:14" x14ac:dyDescent="0.2">
      <c r="A38" t="s">
        <v>21</v>
      </c>
      <c r="B38" s="3" t="str">
        <f t="shared" si="0"/>
        <v>1385</v>
      </c>
      <c r="I38" s="3">
        <f t="shared" si="1"/>
        <v>0</v>
      </c>
      <c r="J38" s="3">
        <f t="shared" si="2"/>
        <v>240062.05000000002</v>
      </c>
      <c r="K38">
        <v>10000</v>
      </c>
      <c r="L38" s="3">
        <f t="shared" si="3"/>
        <v>250062.05000000002</v>
      </c>
      <c r="M38" s="3">
        <f t="shared" si="4"/>
        <v>14003.474800000004</v>
      </c>
      <c r="N38" s="3" t="b">
        <f t="shared" si="5"/>
        <v>0</v>
      </c>
    </row>
    <row r="39" spans="1:14" x14ac:dyDescent="0.2">
      <c r="A39" t="s">
        <v>19</v>
      </c>
      <c r="B39" s="3" t="str">
        <f t="shared" si="0"/>
        <v>2711</v>
      </c>
      <c r="H39">
        <v>10000</v>
      </c>
      <c r="I39" s="3">
        <f t="shared" si="1"/>
        <v>0</v>
      </c>
      <c r="J39" s="3">
        <f t="shared" si="2"/>
        <v>469897.63000000006</v>
      </c>
      <c r="L39" s="3">
        <f t="shared" si="3"/>
        <v>479897.63000000006</v>
      </c>
      <c r="M39" s="3">
        <f t="shared" si="4"/>
        <v>20160.000000000004</v>
      </c>
      <c r="N39" s="3" t="b">
        <f t="shared" si="5"/>
        <v>0</v>
      </c>
    </row>
    <row r="40" spans="1:14" x14ac:dyDescent="0.2">
      <c r="A40" t="s">
        <v>21</v>
      </c>
      <c r="B40" s="3" t="str">
        <f t="shared" si="0"/>
        <v>1385</v>
      </c>
      <c r="I40" s="3">
        <f t="shared" si="1"/>
        <v>0</v>
      </c>
      <c r="J40" s="3">
        <f t="shared" si="2"/>
        <v>240062.05000000002</v>
      </c>
      <c r="L40" s="3">
        <f t="shared" si="3"/>
        <v>240062.05000000002</v>
      </c>
      <c r="M40" s="3">
        <f t="shared" si="4"/>
        <v>13443.474800000004</v>
      </c>
      <c r="N40" s="3" t="b">
        <f t="shared" si="5"/>
        <v>0</v>
      </c>
    </row>
    <row r="41" spans="1:14" x14ac:dyDescent="0.2">
      <c r="A41" t="s">
        <v>21</v>
      </c>
      <c r="B41" s="3" t="str">
        <f t="shared" si="0"/>
        <v>1385</v>
      </c>
      <c r="D41">
        <v>8</v>
      </c>
      <c r="E41">
        <v>5</v>
      </c>
      <c r="I41" s="3">
        <f t="shared" si="1"/>
        <v>22437</v>
      </c>
      <c r="J41" s="3">
        <f t="shared" si="2"/>
        <v>240062.05000000002</v>
      </c>
      <c r="L41" s="3">
        <f t="shared" si="3"/>
        <v>262499.05000000005</v>
      </c>
      <c r="M41" s="3">
        <f t="shared" si="4"/>
        <v>14699.946800000005</v>
      </c>
      <c r="N41" s="3" t="b">
        <f t="shared" si="5"/>
        <v>0</v>
      </c>
    </row>
    <row r="42" spans="1:14" x14ac:dyDescent="0.2">
      <c r="A42" t="s">
        <v>19</v>
      </c>
      <c r="B42" s="3" t="str">
        <f t="shared" si="0"/>
        <v>2711</v>
      </c>
      <c r="I42" s="3">
        <f t="shared" si="1"/>
        <v>0</v>
      </c>
      <c r="J42" s="3">
        <f t="shared" si="2"/>
        <v>469897.63000000006</v>
      </c>
      <c r="L42" s="3">
        <f t="shared" si="3"/>
        <v>469897.63000000006</v>
      </c>
      <c r="M42" s="3">
        <f t="shared" si="4"/>
        <v>20160.000000000004</v>
      </c>
      <c r="N42" s="3" t="b">
        <f t="shared" si="5"/>
        <v>0</v>
      </c>
    </row>
    <row r="43" spans="1:14" x14ac:dyDescent="0.2">
      <c r="A43" t="s">
        <v>21</v>
      </c>
      <c r="B43" s="3" t="str">
        <f t="shared" si="0"/>
        <v>1385</v>
      </c>
      <c r="I43" s="3">
        <f t="shared" si="1"/>
        <v>0</v>
      </c>
      <c r="J43" s="3">
        <f t="shared" si="2"/>
        <v>240062.05000000002</v>
      </c>
      <c r="L43" s="3">
        <f t="shared" si="3"/>
        <v>240062.05000000002</v>
      </c>
      <c r="M43" s="3">
        <f t="shared" si="4"/>
        <v>13443.474800000004</v>
      </c>
      <c r="N43" s="3" t="b">
        <f t="shared" si="5"/>
        <v>0</v>
      </c>
    </row>
    <row r="44" spans="1:14" x14ac:dyDescent="0.2">
      <c r="A44" t="s">
        <v>21</v>
      </c>
      <c r="B44" s="3" t="str">
        <f t="shared" si="0"/>
        <v>1385</v>
      </c>
      <c r="D44">
        <v>8</v>
      </c>
      <c r="E44">
        <v>5</v>
      </c>
      <c r="G44">
        <v>3</v>
      </c>
      <c r="I44" s="3">
        <f t="shared" si="1"/>
        <v>30747</v>
      </c>
      <c r="J44" s="3">
        <f t="shared" si="2"/>
        <v>240062.05000000002</v>
      </c>
      <c r="L44" s="3">
        <f t="shared" si="3"/>
        <v>270809.05000000005</v>
      </c>
      <c r="M44" s="3">
        <f t="shared" si="4"/>
        <v>15165.306800000004</v>
      </c>
      <c r="N44" s="3" t="b">
        <f t="shared" si="5"/>
        <v>0</v>
      </c>
    </row>
    <row r="45" spans="1:14" x14ac:dyDescent="0.2">
      <c r="A45" t="s">
        <v>20</v>
      </c>
      <c r="B45" s="3" t="str">
        <f t="shared" si="0"/>
        <v>2020</v>
      </c>
      <c r="G45">
        <v>2</v>
      </c>
      <c r="H45">
        <v>8500</v>
      </c>
      <c r="I45" s="3">
        <f t="shared" si="1"/>
        <v>8080</v>
      </c>
      <c r="J45" s="3">
        <f t="shared" si="2"/>
        <v>350126.60000000003</v>
      </c>
      <c r="L45" s="3">
        <f t="shared" si="3"/>
        <v>366706.60000000003</v>
      </c>
      <c r="M45" s="3">
        <f t="shared" si="4"/>
        <v>20160.000000000004</v>
      </c>
      <c r="N45" s="3" t="b">
        <f t="shared" si="5"/>
        <v>0</v>
      </c>
    </row>
    <row r="46" spans="1:14" x14ac:dyDescent="0.2">
      <c r="A46" t="s">
        <v>20</v>
      </c>
      <c r="B46" s="3" t="str">
        <f t="shared" si="0"/>
        <v>2020</v>
      </c>
      <c r="I46" s="3">
        <f t="shared" si="1"/>
        <v>0</v>
      </c>
      <c r="J46" s="3">
        <f t="shared" si="2"/>
        <v>350126.60000000003</v>
      </c>
      <c r="K46">
        <v>15000</v>
      </c>
      <c r="L46" s="3">
        <f t="shared" si="3"/>
        <v>365126.60000000003</v>
      </c>
      <c r="M46" s="3">
        <f t="shared" si="4"/>
        <v>20160.000000000004</v>
      </c>
      <c r="N46" s="3" t="b">
        <f t="shared" si="5"/>
        <v>0</v>
      </c>
    </row>
    <row r="47" spans="1:14" x14ac:dyDescent="0.2">
      <c r="A47" t="s">
        <v>20</v>
      </c>
      <c r="B47" s="3" t="str">
        <f t="shared" si="0"/>
        <v>2020</v>
      </c>
      <c r="D47">
        <v>8</v>
      </c>
      <c r="E47">
        <v>5</v>
      </c>
      <c r="G47">
        <v>4</v>
      </c>
      <c r="I47" s="3">
        <f t="shared" si="1"/>
        <v>48884</v>
      </c>
      <c r="J47" s="3">
        <f t="shared" si="2"/>
        <v>350126.60000000003</v>
      </c>
      <c r="L47" s="3">
        <f t="shared" si="3"/>
        <v>399010.60000000003</v>
      </c>
      <c r="M47" s="3">
        <f t="shared" si="4"/>
        <v>20160.000000000004</v>
      </c>
      <c r="N47" s="3" t="b">
        <f t="shared" si="5"/>
        <v>0</v>
      </c>
    </row>
    <row r="48" spans="1:14" x14ac:dyDescent="0.2">
      <c r="A48" t="s">
        <v>20</v>
      </c>
      <c r="B48" s="3" t="str">
        <f t="shared" si="0"/>
        <v>2020</v>
      </c>
      <c r="D48">
        <v>8</v>
      </c>
      <c r="F48">
        <v>3</v>
      </c>
      <c r="I48" s="3">
        <f t="shared" si="1"/>
        <v>28280</v>
      </c>
      <c r="J48" s="3">
        <f t="shared" si="2"/>
        <v>350126.60000000003</v>
      </c>
      <c r="L48" s="3">
        <f t="shared" si="3"/>
        <v>378406.60000000003</v>
      </c>
      <c r="M48" s="3">
        <f t="shared" si="4"/>
        <v>20160.000000000004</v>
      </c>
      <c r="N48" s="3" t="b">
        <f t="shared" si="5"/>
        <v>0</v>
      </c>
    </row>
    <row r="49" spans="1:14" x14ac:dyDescent="0.2">
      <c r="A49" t="s">
        <v>20</v>
      </c>
      <c r="B49" s="3" t="str">
        <f t="shared" si="0"/>
        <v>2020</v>
      </c>
      <c r="H49">
        <v>5000</v>
      </c>
      <c r="I49" s="3">
        <f t="shared" si="1"/>
        <v>0</v>
      </c>
      <c r="J49" s="3">
        <f t="shared" si="2"/>
        <v>350126.60000000003</v>
      </c>
      <c r="K49">
        <v>9500</v>
      </c>
      <c r="L49" s="3">
        <f t="shared" si="3"/>
        <v>364626.60000000003</v>
      </c>
      <c r="M49" s="3">
        <f t="shared" si="4"/>
        <v>20160.000000000004</v>
      </c>
      <c r="N49" s="3" t="b">
        <f t="shared" si="5"/>
        <v>0</v>
      </c>
    </row>
    <row r="50" spans="1:14" x14ac:dyDescent="0.2">
      <c r="A50" t="s">
        <v>20</v>
      </c>
      <c r="B50" s="3" t="str">
        <f t="shared" si="0"/>
        <v>2020</v>
      </c>
      <c r="D50">
        <v>8</v>
      </c>
      <c r="I50" s="3">
        <f t="shared" si="1"/>
        <v>18584</v>
      </c>
      <c r="J50" s="3">
        <f t="shared" si="2"/>
        <v>350126.60000000003</v>
      </c>
      <c r="L50" s="3">
        <f t="shared" si="3"/>
        <v>368710.60000000003</v>
      </c>
      <c r="M50" s="3">
        <f t="shared" si="4"/>
        <v>20160.000000000004</v>
      </c>
      <c r="N50" s="3" t="b">
        <f t="shared" si="5"/>
        <v>0</v>
      </c>
    </row>
    <row r="51" spans="1:14" x14ac:dyDescent="0.2">
      <c r="A51" t="s">
        <v>20</v>
      </c>
      <c r="B51" s="3" t="str">
        <f t="shared" si="0"/>
        <v>2020</v>
      </c>
      <c r="D51">
        <v>8</v>
      </c>
      <c r="E51">
        <v>2</v>
      </c>
      <c r="F51">
        <v>3</v>
      </c>
      <c r="H51">
        <v>7000</v>
      </c>
      <c r="I51" s="3">
        <f t="shared" si="1"/>
        <v>33936</v>
      </c>
      <c r="J51" s="3">
        <f t="shared" si="2"/>
        <v>350126.60000000003</v>
      </c>
      <c r="L51" s="3">
        <f t="shared" si="3"/>
        <v>391062.60000000003</v>
      </c>
      <c r="M51" s="3">
        <f t="shared" si="4"/>
        <v>20160.000000000004</v>
      </c>
      <c r="N51" s="3" t="b">
        <f t="shared" si="5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J30"/>
  <sheetViews>
    <sheetView workbookViewId="0">
      <selection activeCell="L9" sqref="L9"/>
    </sheetView>
  </sheetViews>
  <sheetFormatPr defaultColWidth="10.76171875" defaultRowHeight="15" x14ac:dyDescent="0.2"/>
  <cols>
    <col min="1" max="1" width="27.44140625" customWidth="1"/>
    <col min="2" max="2" width="27.57421875" customWidth="1"/>
    <col min="3" max="3" width="17.21875" customWidth="1"/>
    <col min="4" max="4" width="12.23828125" customWidth="1"/>
    <col min="6" max="6" width="16.0078125" customWidth="1"/>
    <col min="7" max="7" width="20.71484375" hidden="1" customWidth="1"/>
    <col min="8" max="8" width="17.08203125" hidden="1" customWidth="1"/>
    <col min="9" max="9" width="11.43359375" hidden="1" customWidth="1"/>
    <col min="10" max="10" width="16.94921875" hidden="1" customWidth="1"/>
    <col min="11" max="11" width="18.29296875" customWidth="1"/>
    <col min="12" max="12" width="20.3125" customWidth="1"/>
    <col min="13" max="13" width="16.6796875" customWidth="1"/>
    <col min="14" max="14" width="11.56640625" customWidth="1"/>
  </cols>
  <sheetData>
    <row r="1" spans="1:10" x14ac:dyDescent="0.2">
      <c r="A1" s="30" t="s">
        <v>0</v>
      </c>
      <c r="B1" s="30" t="s">
        <v>133</v>
      </c>
      <c r="C1" s="39" t="s">
        <v>4</v>
      </c>
      <c r="D1" s="39" t="s">
        <v>19</v>
      </c>
    </row>
    <row r="2" spans="1:10" x14ac:dyDescent="0.2">
      <c r="A2" s="26" t="s">
        <v>38</v>
      </c>
      <c r="B2" s="27" t="s">
        <v>119</v>
      </c>
      <c r="C2" s="38" t="s">
        <v>58</v>
      </c>
      <c r="D2" s="38" t="str">
        <f>IF(D1="A","2711",
IF(D1="B","2020",
IF(D1="C","1385",0)))</f>
        <v>2711</v>
      </c>
      <c r="J2" s="15"/>
    </row>
    <row r="3" spans="1:10" x14ac:dyDescent="0.2">
      <c r="A3" s="30" t="s">
        <v>1</v>
      </c>
      <c r="B3" s="31" t="s">
        <v>120</v>
      </c>
      <c r="C3" s="30"/>
      <c r="D3" s="30"/>
    </row>
    <row r="4" spans="1:10" x14ac:dyDescent="0.2">
      <c r="A4" s="26" t="s">
        <v>42</v>
      </c>
      <c r="B4" s="28" t="s">
        <v>121</v>
      </c>
      <c r="C4" s="26" t="s">
        <v>41</v>
      </c>
      <c r="D4" s="27" t="s">
        <v>122</v>
      </c>
    </row>
    <row r="5" spans="1:10" x14ac:dyDescent="0.2">
      <c r="A5" s="30" t="s">
        <v>36</v>
      </c>
      <c r="B5" s="32" t="str">
        <f ca="1">DATEDIF(B4,TODAY(),"y") &amp; " ans"</f>
        <v>38 ans</v>
      </c>
      <c r="C5" s="30" t="s">
        <v>304</v>
      </c>
      <c r="D5">
        <v>0</v>
      </c>
    </row>
    <row r="6" spans="1:10" x14ac:dyDescent="0.2">
      <c r="A6" s="26" t="s">
        <v>39</v>
      </c>
      <c r="B6" s="26" t="s">
        <v>27</v>
      </c>
      <c r="C6" s="26" t="s">
        <v>40</v>
      </c>
      <c r="D6" s="29">
        <v>4</v>
      </c>
    </row>
    <row r="7" spans="1:10" x14ac:dyDescent="0.2">
      <c r="A7" s="30" t="s">
        <v>37</v>
      </c>
      <c r="B7" s="30" t="s">
        <v>43</v>
      </c>
      <c r="C7" s="30"/>
      <c r="D7" s="30"/>
    </row>
    <row r="8" spans="1:10" s="3" customFormat="1" ht="15" customHeight="1" x14ac:dyDescent="0.2">
      <c r="A8" s="79" t="s">
        <v>299</v>
      </c>
      <c r="B8" s="80"/>
      <c r="C8" s="80"/>
      <c r="D8" s="81"/>
    </row>
    <row r="9" spans="1:10" x14ac:dyDescent="0.2">
      <c r="A9" s="82"/>
      <c r="B9" s="83"/>
      <c r="C9" s="83"/>
      <c r="D9" s="84"/>
    </row>
    <row r="10" spans="1:10" x14ac:dyDescent="0.2">
      <c r="A10" s="30" t="s">
        <v>45</v>
      </c>
      <c r="B10" s="30"/>
      <c r="C10" s="33"/>
      <c r="D10" s="33">
        <f>173.33*D2</f>
        <v>469897.63000000006</v>
      </c>
    </row>
    <row r="11" spans="1:10" x14ac:dyDescent="0.2">
      <c r="A11" s="26" t="s">
        <v>7</v>
      </c>
      <c r="B11" s="26"/>
      <c r="C11" s="25"/>
      <c r="D11" s="25"/>
    </row>
    <row r="12" spans="1:10" x14ac:dyDescent="0.2">
      <c r="A12" s="30" t="s">
        <v>46</v>
      </c>
      <c r="B12" s="30"/>
      <c r="C12" s="33">
        <v>0</v>
      </c>
      <c r="D12" s="33">
        <f>C12*D2*1.15</f>
        <v>0</v>
      </c>
    </row>
    <row r="13" spans="1:10" x14ac:dyDescent="0.2">
      <c r="A13" s="26" t="s">
        <v>47</v>
      </c>
      <c r="B13" s="26"/>
      <c r="C13" s="25">
        <v>0</v>
      </c>
      <c r="D13" s="25">
        <f>C13*D2*1.4</f>
        <v>0</v>
      </c>
    </row>
    <row r="14" spans="1:10" x14ac:dyDescent="0.2">
      <c r="A14" s="30" t="s">
        <v>48</v>
      </c>
      <c r="B14" s="30"/>
      <c r="C14" s="33">
        <v>0</v>
      </c>
      <c r="D14" s="33">
        <f>C14*D2*1.6</f>
        <v>0</v>
      </c>
    </row>
    <row r="15" spans="1:10" x14ac:dyDescent="0.2">
      <c r="A15" s="26" t="s">
        <v>49</v>
      </c>
      <c r="B15" s="26"/>
      <c r="C15" s="25">
        <v>0</v>
      </c>
      <c r="D15" s="25">
        <f>C15*D2*2</f>
        <v>0</v>
      </c>
    </row>
    <row r="16" spans="1:10" x14ac:dyDescent="0.2">
      <c r="A16" s="30" t="s">
        <v>50</v>
      </c>
      <c r="B16" s="30"/>
      <c r="C16" s="33"/>
      <c r="D16" s="33">
        <v>10000</v>
      </c>
    </row>
    <row r="17" spans="1:4" x14ac:dyDescent="0.2">
      <c r="A17" s="26" t="s">
        <v>54</v>
      </c>
      <c r="B17" s="26"/>
      <c r="C17" s="25"/>
      <c r="D17" s="25">
        <f>SUM(D10:D16)</f>
        <v>479897.63000000006</v>
      </c>
    </row>
    <row r="18" spans="1:4" x14ac:dyDescent="0.2">
      <c r="A18" s="30" t="s">
        <v>13</v>
      </c>
      <c r="B18" s="30"/>
      <c r="C18" s="33"/>
      <c r="D18" s="33">
        <v>80000</v>
      </c>
    </row>
    <row r="19" spans="1:4" s="2" customFormat="1" x14ac:dyDescent="0.2">
      <c r="A19" s="26" t="s">
        <v>55</v>
      </c>
      <c r="B19" s="26"/>
      <c r="C19" s="25"/>
      <c r="D19" s="25">
        <f>D17+D18</f>
        <v>559897.63000000012</v>
      </c>
    </row>
    <row r="20" spans="1:4" x14ac:dyDescent="0.2">
      <c r="A20" s="85" t="s">
        <v>56</v>
      </c>
      <c r="B20" s="30" t="s">
        <v>51</v>
      </c>
      <c r="C20" s="33"/>
      <c r="D20" s="33">
        <f>MIN(D17,360000)*0.14*0.4</f>
        <v>20160.000000000004</v>
      </c>
    </row>
    <row r="21" spans="1:4" x14ac:dyDescent="0.2">
      <c r="A21" s="86"/>
      <c r="B21" s="26" t="s">
        <v>70</v>
      </c>
      <c r="C21" s="25"/>
      <c r="D21" s="25">
        <f>IF(B7="General",0,MIN(D17,1080000)*0.06*0.4)</f>
        <v>11517.543120000002</v>
      </c>
    </row>
    <row r="22" spans="1:4" x14ac:dyDescent="0.2">
      <c r="A22" s="86"/>
      <c r="B22" s="30" t="s">
        <v>15</v>
      </c>
      <c r="C22" s="33"/>
      <c r="D22" s="33">
        <v>0</v>
      </c>
    </row>
    <row r="23" spans="1:4" x14ac:dyDescent="0.2">
      <c r="A23" s="86"/>
      <c r="B23" s="26" t="s">
        <v>34</v>
      </c>
      <c r="C23" s="25"/>
      <c r="D23" s="25">
        <f>'CALCUL  DE L''IR'!E13*('bulletin de paie'!D5+1)</f>
        <v>900</v>
      </c>
    </row>
    <row r="24" spans="1:4" x14ac:dyDescent="0.2">
      <c r="A24" s="86"/>
      <c r="B24" s="30" t="s">
        <v>35</v>
      </c>
      <c r="C24" s="33"/>
      <c r="D24" s="33">
        <f>'CALCUL  DE L''IR'!B17</f>
        <v>88066.637499999997</v>
      </c>
    </row>
    <row r="25" spans="1:4" x14ac:dyDescent="0.2">
      <c r="A25" s="86"/>
      <c r="B25" s="26" t="s">
        <v>52</v>
      </c>
      <c r="C25" s="25"/>
      <c r="D25" s="25">
        <v>0</v>
      </c>
    </row>
    <row r="26" spans="1:4" x14ac:dyDescent="0.2">
      <c r="A26" s="87"/>
      <c r="B26" s="30" t="s">
        <v>17</v>
      </c>
      <c r="C26" s="33"/>
      <c r="D26" s="33"/>
    </row>
    <row r="27" spans="1:4" x14ac:dyDescent="0.2">
      <c r="A27" s="26" t="s">
        <v>68</v>
      </c>
      <c r="B27" s="26"/>
      <c r="C27" s="25"/>
      <c r="D27" s="25">
        <f>SUM(D20:D26)</f>
        <v>120644.18062</v>
      </c>
    </row>
    <row r="28" spans="1:4" x14ac:dyDescent="0.2">
      <c r="A28" s="30" t="s">
        <v>69</v>
      </c>
      <c r="B28" s="30"/>
      <c r="C28" s="33"/>
      <c r="D28" s="33">
        <f>+D17-D27</f>
        <v>359253.44938000006</v>
      </c>
    </row>
    <row r="29" spans="1:4" x14ac:dyDescent="0.2">
      <c r="A29" s="26" t="s">
        <v>53</v>
      </c>
      <c r="B29" s="26"/>
      <c r="C29" s="25"/>
      <c r="D29" s="25">
        <v>0</v>
      </c>
    </row>
    <row r="30" spans="1:4" ht="15.75" thickBot="1" x14ac:dyDescent="0.25">
      <c r="A30" s="36" t="s">
        <v>57</v>
      </c>
      <c r="B30" s="34"/>
      <c r="C30" s="35"/>
      <c r="D30" s="35">
        <f>+D28+D29</f>
        <v>359253.44938000006</v>
      </c>
    </row>
  </sheetData>
  <mergeCells count="2">
    <mergeCell ref="A8:D9"/>
    <mergeCell ref="A20:A26"/>
  </mergeCells>
  <dataValidations count="2">
    <dataValidation type="whole" operator="lessThanOrEqual" allowBlank="1" showInputMessage="1" showErrorMessage="1" sqref="C12" xr:uid="{00000000-0002-0000-0400-000000000000}">
      <formula1>8</formula1>
    </dataValidation>
    <dataValidation type="whole" showInputMessage="1" showErrorMessage="1" sqref="C13" xr:uid="{00000000-0002-0000-0400-000001000000}">
      <formula1>0</formula1>
      <formula2>10</formula2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2000000}">
          <x14:formula1>
            <xm:f>Regime!$A$1:$A$2</xm:f>
          </x14:formula1>
          <xm:sqref>B7</xm:sqref>
        </x14:dataValidation>
        <x14:dataValidation type="list" allowBlank="1" showInputMessage="1" showErrorMessage="1" xr:uid="{00000000-0002-0000-0400-000003000000}">
          <x14:formula1>
            <xm:f>Etat_Civil!$A$1:$A$4</xm:f>
          </x14:formula1>
          <xm:sqref>B6</xm:sqref>
        </x14:dataValidation>
        <x14:dataValidation type="list" allowBlank="1" showInputMessage="1" showErrorMessage="1" xr:uid="{00000000-0002-0000-0400-000004000000}">
          <x14:formula1>
            <xm:f>categorie!$A$1:$A$3</xm:f>
          </x14:formula1>
          <xm:sqref>D1</xm:sqref>
        </x14:dataValidation>
        <x14:dataValidation type="list" allowBlank="1" showInputMessage="1" showErrorMessage="1" xr:uid="{00000000-0002-0000-0400-000005000000}">
          <x14:formula1>
            <xm:f>BASE_DONNEES!$B$2:$B$51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2"/>
  <dimension ref="A1:AI51"/>
  <sheetViews>
    <sheetView workbookViewId="0">
      <selection activeCell="B2" sqref="B2"/>
    </sheetView>
  </sheetViews>
  <sheetFormatPr defaultColWidth="11.43359375" defaultRowHeight="15" x14ac:dyDescent="0.2"/>
  <cols>
    <col min="1" max="1" width="11.43359375" style="1"/>
    <col min="2" max="2" width="17.890625" style="1" customWidth="1"/>
    <col min="3" max="4" width="11.43359375" style="1"/>
    <col min="5" max="5" width="23.40625" style="1" customWidth="1"/>
    <col min="6" max="6" width="11.43359375" style="1"/>
    <col min="7" max="7" width="22.05859375" style="1" customWidth="1"/>
    <col min="8" max="10" width="11.43359375" style="1"/>
    <col min="11" max="16" width="11.56640625" style="1" bestFit="1" customWidth="1"/>
    <col min="17" max="17" width="11.43359375" style="1"/>
    <col min="18" max="18" width="18.29296875" style="1" customWidth="1"/>
    <col min="19" max="23" width="11.56640625" style="1" bestFit="1" customWidth="1"/>
    <col min="24" max="24" width="16.41015625" style="1" customWidth="1"/>
    <col min="25" max="25" width="20.4453125" style="1" customWidth="1"/>
    <col min="26" max="26" width="17.21875" style="16" customWidth="1"/>
    <col min="27" max="28" width="11.56640625" style="1" bestFit="1" customWidth="1"/>
    <col min="29" max="29" width="18.83203125" style="1" customWidth="1"/>
    <col min="30" max="34" width="11.56640625" style="1" bestFit="1" customWidth="1"/>
    <col min="35" max="35" width="19.7734375" style="1" customWidth="1"/>
    <col min="36" max="16384" width="11.43359375" style="1"/>
  </cols>
  <sheetData>
    <row r="1" spans="1:35" x14ac:dyDescent="0.2">
      <c r="A1" s="1" t="s">
        <v>18</v>
      </c>
      <c r="B1" s="61" t="s">
        <v>0</v>
      </c>
      <c r="C1" s="61" t="s">
        <v>2</v>
      </c>
      <c r="D1" s="61" t="s">
        <v>1</v>
      </c>
      <c r="E1" s="62" t="s">
        <v>22</v>
      </c>
      <c r="F1" s="61" t="s">
        <v>36</v>
      </c>
      <c r="G1" s="61" t="s">
        <v>23</v>
      </c>
      <c r="H1" s="61" t="s">
        <v>3</v>
      </c>
      <c r="I1" s="63" t="s">
        <v>4</v>
      </c>
      <c r="J1" s="61" t="s">
        <v>24</v>
      </c>
      <c r="K1" s="61" t="s">
        <v>5</v>
      </c>
      <c r="L1" s="61" t="s">
        <v>6</v>
      </c>
      <c r="M1" s="61" t="s">
        <v>10</v>
      </c>
      <c r="N1" s="61" t="s">
        <v>11</v>
      </c>
      <c r="O1" s="61" t="s">
        <v>8</v>
      </c>
      <c r="P1" s="61" t="s">
        <v>9</v>
      </c>
      <c r="Q1" s="61" t="s">
        <v>339</v>
      </c>
      <c r="R1" s="61" t="s">
        <v>338</v>
      </c>
      <c r="S1" s="61" t="s">
        <v>337</v>
      </c>
      <c r="T1" s="61" t="s">
        <v>7</v>
      </c>
      <c r="U1" s="61" t="s">
        <v>12</v>
      </c>
      <c r="V1" s="61" t="s">
        <v>31</v>
      </c>
      <c r="W1" s="61" t="s">
        <v>13</v>
      </c>
      <c r="X1" s="61" t="s">
        <v>55</v>
      </c>
      <c r="Y1" s="64" t="s">
        <v>327</v>
      </c>
      <c r="Z1" s="65" t="s">
        <v>328</v>
      </c>
      <c r="AA1" s="64" t="s">
        <v>15</v>
      </c>
      <c r="AB1" s="64" t="s">
        <v>329</v>
      </c>
      <c r="AC1" s="64" t="s">
        <v>330</v>
      </c>
      <c r="AD1" s="64" t="s">
        <v>331</v>
      </c>
      <c r="AE1" s="64" t="s">
        <v>332</v>
      </c>
      <c r="AF1" s="64" t="s">
        <v>333</v>
      </c>
      <c r="AG1" s="64" t="s">
        <v>334</v>
      </c>
      <c r="AH1" s="64" t="s">
        <v>335</v>
      </c>
      <c r="AI1" s="64" t="s">
        <v>336</v>
      </c>
    </row>
    <row r="2" spans="1:35" x14ac:dyDescent="0.2">
      <c r="A2" s="1">
        <v>1</v>
      </c>
      <c r="B2" s="58" t="s">
        <v>90</v>
      </c>
      <c r="C2" s="58" t="s">
        <v>91</v>
      </c>
      <c r="D2" s="58" t="s">
        <v>92</v>
      </c>
      <c r="E2" s="59">
        <v>30568</v>
      </c>
      <c r="F2" s="58" t="str">
        <f ca="1">DATEDIF(E2,TODAY(),"y") &amp; " ans"</f>
        <v>36 ans</v>
      </c>
      <c r="G2" s="58" t="s">
        <v>93</v>
      </c>
      <c r="H2" s="58" t="s">
        <v>25</v>
      </c>
      <c r="I2" s="57" t="s">
        <v>20</v>
      </c>
      <c r="J2" s="58" t="s">
        <v>27</v>
      </c>
      <c r="K2" s="58">
        <v>1</v>
      </c>
      <c r="L2" s="58">
        <v>3</v>
      </c>
      <c r="M2" s="58"/>
      <c r="N2" s="58"/>
      <c r="O2" s="58"/>
      <c r="P2" s="58">
        <v>4</v>
      </c>
      <c r="Q2" s="58" t="str">
        <f t="shared" ref="Q2:Q33" si="0">IF(I2="A","2711",
IF(I2="B","2020",
IF(I2="C","1385",0)))</f>
        <v>2020</v>
      </c>
      <c r="R2" s="58">
        <f>173.33*Q2</f>
        <v>350126.60000000003</v>
      </c>
      <c r="S2" s="58">
        <f t="shared" ref="S2:S33" si="1">(M2*Q2*1.5)+(N2*Q2*1.4)+(O2*Q2*1.6)+(P2*Q2*2)</f>
        <v>16160</v>
      </c>
      <c r="T2" s="58"/>
      <c r="U2" s="58"/>
      <c r="V2" s="58">
        <f t="shared" ref="V2:V33" si="2">SUM(R2:U2)</f>
        <v>366286.60000000003</v>
      </c>
      <c r="W2" s="58"/>
      <c r="X2" s="58">
        <v>366286.60000000003</v>
      </c>
      <c r="Y2" s="58">
        <v>20160</v>
      </c>
      <c r="Z2" s="60">
        <v>0</v>
      </c>
      <c r="AA2" s="58">
        <v>4500</v>
      </c>
      <c r="AB2" s="58">
        <v>1800</v>
      </c>
      <c r="AC2" s="58">
        <v>29166.666666666668</v>
      </c>
      <c r="AD2" s="58">
        <v>25000</v>
      </c>
      <c r="AE2" s="58">
        <v>0</v>
      </c>
      <c r="AF2" s="58">
        <v>80626.666666666672</v>
      </c>
      <c r="AG2" s="58">
        <v>285659.93333333335</v>
      </c>
      <c r="AH2" s="58">
        <v>17500</v>
      </c>
      <c r="AI2" s="58">
        <v>303159.93333333335</v>
      </c>
    </row>
    <row r="3" spans="1:35" x14ac:dyDescent="0.2">
      <c r="A3" s="1">
        <v>2</v>
      </c>
      <c r="B3" s="58" t="s">
        <v>94</v>
      </c>
      <c r="C3" s="58" t="s">
        <v>95</v>
      </c>
      <c r="D3" s="58" t="s">
        <v>96</v>
      </c>
      <c r="E3" s="60" t="s">
        <v>97</v>
      </c>
      <c r="F3" s="58" t="str">
        <f t="shared" ref="F3:F51" ca="1" si="3">DATEDIF(E3,TODAY(),"y") &amp; " ans"</f>
        <v>44 ans</v>
      </c>
      <c r="G3" s="58" t="s">
        <v>98</v>
      </c>
      <c r="H3" s="58" t="s">
        <v>25</v>
      </c>
      <c r="I3" s="57" t="s">
        <v>20</v>
      </c>
      <c r="J3" s="58" t="s">
        <v>28</v>
      </c>
      <c r="K3" s="58">
        <v>0</v>
      </c>
      <c r="L3" s="58">
        <v>0</v>
      </c>
      <c r="M3" s="58">
        <v>8</v>
      </c>
      <c r="N3" s="58">
        <v>4</v>
      </c>
      <c r="O3" s="58"/>
      <c r="P3" s="58">
        <v>3</v>
      </c>
      <c r="Q3" s="58" t="str">
        <f t="shared" si="0"/>
        <v>2020</v>
      </c>
      <c r="R3" s="58">
        <f t="shared" ref="R3:R13" si="4">173.33*Q3</f>
        <v>350126.60000000003</v>
      </c>
      <c r="S3" s="58">
        <f t="shared" si="1"/>
        <v>47672</v>
      </c>
      <c r="T3" s="58"/>
      <c r="U3" s="58">
        <v>15000</v>
      </c>
      <c r="V3" s="58">
        <f t="shared" si="2"/>
        <v>412798.60000000003</v>
      </c>
      <c r="W3" s="58"/>
      <c r="X3" s="58">
        <v>407142.60000000003</v>
      </c>
      <c r="Y3" s="58">
        <v>20160</v>
      </c>
      <c r="Z3" s="60">
        <v>0</v>
      </c>
      <c r="AA3" s="58">
        <v>0</v>
      </c>
      <c r="AB3" s="58">
        <v>900</v>
      </c>
      <c r="AC3" s="58">
        <v>62500</v>
      </c>
      <c r="AD3" s="58">
        <v>0</v>
      </c>
      <c r="AE3" s="58">
        <v>0</v>
      </c>
      <c r="AF3" s="58">
        <v>83560</v>
      </c>
      <c r="AG3" s="58">
        <v>323582.60000000003</v>
      </c>
      <c r="AH3" s="58">
        <v>12500</v>
      </c>
      <c r="AI3" s="58">
        <v>336082.60000000003</v>
      </c>
    </row>
    <row r="4" spans="1:35" x14ac:dyDescent="0.2">
      <c r="A4" s="1">
        <v>3</v>
      </c>
      <c r="B4" s="58" t="s">
        <v>99</v>
      </c>
      <c r="C4" s="58" t="s">
        <v>100</v>
      </c>
      <c r="D4" s="58" t="s">
        <v>101</v>
      </c>
      <c r="E4" s="60" t="s">
        <v>102</v>
      </c>
      <c r="F4" s="58" t="str">
        <f t="shared" ca="1" si="3"/>
        <v>37 ans</v>
      </c>
      <c r="G4" s="58" t="s">
        <v>103</v>
      </c>
      <c r="H4" s="58" t="s">
        <v>25</v>
      </c>
      <c r="I4" s="57" t="s">
        <v>20</v>
      </c>
      <c r="J4" s="58" t="s">
        <v>27</v>
      </c>
      <c r="K4" s="58">
        <v>2</v>
      </c>
      <c r="L4" s="58">
        <v>6</v>
      </c>
      <c r="M4" s="58"/>
      <c r="N4" s="58"/>
      <c r="O4" s="58">
        <v>6</v>
      </c>
      <c r="P4" s="58">
        <v>2</v>
      </c>
      <c r="Q4" s="58" t="str">
        <f t="shared" si="0"/>
        <v>2020</v>
      </c>
      <c r="R4" s="58">
        <f t="shared" si="4"/>
        <v>350126.60000000003</v>
      </c>
      <c r="S4" s="58">
        <f t="shared" si="1"/>
        <v>27472</v>
      </c>
      <c r="T4" s="58"/>
      <c r="U4" s="58"/>
      <c r="V4" s="58">
        <f t="shared" si="2"/>
        <v>377598.60000000003</v>
      </c>
      <c r="W4" s="58"/>
      <c r="X4" s="58">
        <v>377598.60000000003</v>
      </c>
      <c r="Y4" s="58">
        <v>20160</v>
      </c>
      <c r="Z4" s="60">
        <v>0</v>
      </c>
      <c r="AA4" s="58">
        <v>5000</v>
      </c>
      <c r="AB4" s="58">
        <v>2700</v>
      </c>
      <c r="AC4" s="58">
        <v>4166.666666666667</v>
      </c>
      <c r="AD4" s="58">
        <v>0</v>
      </c>
      <c r="AE4" s="58">
        <v>0</v>
      </c>
      <c r="AF4" s="58">
        <v>32026.666666666668</v>
      </c>
      <c r="AG4" s="58">
        <v>345571.93333333335</v>
      </c>
      <c r="AH4" s="58">
        <v>20000</v>
      </c>
      <c r="AI4" s="58">
        <v>365571.93333333335</v>
      </c>
    </row>
    <row r="5" spans="1:35" x14ac:dyDescent="0.2">
      <c r="A5" s="1">
        <v>4</v>
      </c>
      <c r="B5" s="58" t="s">
        <v>104</v>
      </c>
      <c r="C5" s="58" t="s">
        <v>105</v>
      </c>
      <c r="D5" s="58" t="s">
        <v>106</v>
      </c>
      <c r="E5" s="60" t="s">
        <v>107</v>
      </c>
      <c r="F5" s="58" t="str">
        <f t="shared" ca="1" si="3"/>
        <v>40 ans</v>
      </c>
      <c r="G5" s="58" t="s">
        <v>108</v>
      </c>
      <c r="H5" s="58" t="s">
        <v>25</v>
      </c>
      <c r="I5" s="57" t="s">
        <v>21</v>
      </c>
      <c r="J5" s="58" t="s">
        <v>27</v>
      </c>
      <c r="K5" s="58">
        <v>1</v>
      </c>
      <c r="L5" s="58">
        <v>1</v>
      </c>
      <c r="M5" s="58">
        <v>8</v>
      </c>
      <c r="N5" s="58">
        <v>4</v>
      </c>
      <c r="O5" s="58"/>
      <c r="P5" s="58"/>
      <c r="Q5" s="58" t="str">
        <f t="shared" si="0"/>
        <v>1385</v>
      </c>
      <c r="R5" s="58">
        <f t="shared" ref="R5:R11" si="5">173.33*Q5</f>
        <v>240062.05000000002</v>
      </c>
      <c r="S5" s="58">
        <f t="shared" si="1"/>
        <v>24376</v>
      </c>
      <c r="T5" s="58"/>
      <c r="U5" s="58">
        <v>10000</v>
      </c>
      <c r="V5" s="58">
        <f t="shared" si="2"/>
        <v>274438.05000000005</v>
      </c>
      <c r="W5" s="58"/>
      <c r="X5" s="58">
        <v>270560.05</v>
      </c>
      <c r="Y5" s="58">
        <v>15151.362799999999</v>
      </c>
      <c r="Z5" s="60">
        <v>0</v>
      </c>
      <c r="AA5" s="58">
        <v>0</v>
      </c>
      <c r="AB5" s="58">
        <v>1800</v>
      </c>
      <c r="AC5" s="58">
        <v>45833.333333333336</v>
      </c>
      <c r="AD5" s="58">
        <v>0</v>
      </c>
      <c r="AE5" s="58">
        <v>0</v>
      </c>
      <c r="AF5" s="58">
        <v>62784.696133333331</v>
      </c>
      <c r="AG5" s="58">
        <v>207775.35386666667</v>
      </c>
      <c r="AH5" s="58">
        <v>0</v>
      </c>
      <c r="AI5" s="58">
        <v>207775.35386666667</v>
      </c>
    </row>
    <row r="6" spans="1:35" x14ac:dyDescent="0.2">
      <c r="A6" s="1">
        <v>5</v>
      </c>
      <c r="B6" s="58" t="s">
        <v>109</v>
      </c>
      <c r="C6" s="58" t="s">
        <v>110</v>
      </c>
      <c r="D6" s="58" t="s">
        <v>111</v>
      </c>
      <c r="E6" s="60" t="s">
        <v>112</v>
      </c>
      <c r="F6" s="58" t="str">
        <f t="shared" ca="1" si="3"/>
        <v>37 ans</v>
      </c>
      <c r="G6" s="58" t="s">
        <v>113</v>
      </c>
      <c r="H6" s="58" t="s">
        <v>25</v>
      </c>
      <c r="I6" s="57" t="s">
        <v>21</v>
      </c>
      <c r="J6" s="58" t="s">
        <v>28</v>
      </c>
      <c r="K6" s="58">
        <v>0</v>
      </c>
      <c r="L6" s="58">
        <v>1</v>
      </c>
      <c r="M6" s="58">
        <v>8</v>
      </c>
      <c r="N6" s="58">
        <v>4</v>
      </c>
      <c r="O6" s="58">
        <v>4</v>
      </c>
      <c r="P6" s="58">
        <v>2</v>
      </c>
      <c r="Q6" s="58" t="str">
        <f t="shared" si="0"/>
        <v>1385</v>
      </c>
      <c r="R6" s="58">
        <f t="shared" si="5"/>
        <v>240062.05000000002</v>
      </c>
      <c r="S6" s="58">
        <f t="shared" si="1"/>
        <v>38780</v>
      </c>
      <c r="T6" s="58">
        <v>15000</v>
      </c>
      <c r="U6" s="58"/>
      <c r="V6" s="58">
        <f t="shared" si="2"/>
        <v>293842.05000000005</v>
      </c>
      <c r="W6" s="58">
        <v>35000</v>
      </c>
      <c r="X6" s="58">
        <v>324964.05</v>
      </c>
      <c r="Y6" s="58">
        <v>16237.986800000001</v>
      </c>
      <c r="Z6" s="60">
        <v>0</v>
      </c>
      <c r="AA6" s="58">
        <v>3500</v>
      </c>
      <c r="AB6" s="58">
        <v>900</v>
      </c>
      <c r="AC6" s="58">
        <v>54166.666666666664</v>
      </c>
      <c r="AD6" s="58">
        <v>30000</v>
      </c>
      <c r="AE6" s="58">
        <v>20000</v>
      </c>
      <c r="AF6" s="58">
        <v>124804.65346666667</v>
      </c>
      <c r="AG6" s="58">
        <v>200159.39653333332</v>
      </c>
      <c r="AH6" s="58">
        <v>0</v>
      </c>
      <c r="AI6" s="58">
        <v>200159.39653333332</v>
      </c>
    </row>
    <row r="7" spans="1:35" x14ac:dyDescent="0.2">
      <c r="A7" s="1">
        <v>6</v>
      </c>
      <c r="B7" s="58" t="s">
        <v>114</v>
      </c>
      <c r="C7" s="58" t="s">
        <v>115</v>
      </c>
      <c r="D7" s="58" t="s">
        <v>116</v>
      </c>
      <c r="E7" s="59">
        <v>29138</v>
      </c>
      <c r="F7" s="58" t="str">
        <f t="shared" ca="1" si="3"/>
        <v>40 ans</v>
      </c>
      <c r="G7" s="58" t="s">
        <v>117</v>
      </c>
      <c r="H7" s="58" t="s">
        <v>25</v>
      </c>
      <c r="I7" s="57" t="s">
        <v>21</v>
      </c>
      <c r="J7" s="58" t="s">
        <v>28</v>
      </c>
      <c r="K7" s="58">
        <v>0</v>
      </c>
      <c r="L7" s="58">
        <v>0</v>
      </c>
      <c r="M7" s="58"/>
      <c r="N7" s="58"/>
      <c r="O7" s="58"/>
      <c r="P7" s="58"/>
      <c r="Q7" s="58" t="str">
        <f t="shared" si="0"/>
        <v>1385</v>
      </c>
      <c r="R7" s="58">
        <f t="shared" si="5"/>
        <v>240062.05000000002</v>
      </c>
      <c r="S7" s="58">
        <f t="shared" si="1"/>
        <v>0</v>
      </c>
      <c r="T7" s="58"/>
      <c r="U7" s="58"/>
      <c r="V7" s="58">
        <f t="shared" si="2"/>
        <v>240062.05000000002</v>
      </c>
      <c r="W7" s="58"/>
      <c r="X7" s="58">
        <v>240062.05000000002</v>
      </c>
      <c r="Y7" s="58">
        <v>13443.474800000002</v>
      </c>
      <c r="Z7" s="60">
        <v>0</v>
      </c>
      <c r="AA7" s="58">
        <v>2500</v>
      </c>
      <c r="AB7" s="58">
        <v>900</v>
      </c>
      <c r="AC7" s="58">
        <v>62500</v>
      </c>
      <c r="AD7" s="58">
        <v>0</v>
      </c>
      <c r="AE7" s="58">
        <v>0</v>
      </c>
      <c r="AF7" s="58">
        <v>79343.474799999996</v>
      </c>
      <c r="AG7" s="58">
        <v>160718.57520000002</v>
      </c>
      <c r="AH7" s="58">
        <v>0</v>
      </c>
      <c r="AI7" s="58">
        <v>160718.57520000002</v>
      </c>
    </row>
    <row r="8" spans="1:35" x14ac:dyDescent="0.2">
      <c r="A8" s="1">
        <v>7</v>
      </c>
      <c r="B8" s="58" t="s">
        <v>118</v>
      </c>
      <c r="C8" s="58" t="s">
        <v>119</v>
      </c>
      <c r="D8" s="58" t="s">
        <v>120</v>
      </c>
      <c r="E8" s="60" t="s">
        <v>121</v>
      </c>
      <c r="F8" s="58" t="str">
        <f t="shared" ca="1" si="3"/>
        <v>38 ans</v>
      </c>
      <c r="G8" s="58" t="s">
        <v>122</v>
      </c>
      <c r="H8" s="58" t="s">
        <v>26</v>
      </c>
      <c r="I8" s="57" t="s">
        <v>19</v>
      </c>
      <c r="J8" s="58" t="s">
        <v>27</v>
      </c>
      <c r="K8" s="58">
        <v>0</v>
      </c>
      <c r="L8" s="58">
        <v>4</v>
      </c>
      <c r="M8" s="58"/>
      <c r="N8" s="58"/>
      <c r="O8" s="58"/>
      <c r="P8" s="58"/>
      <c r="Q8" s="58" t="str">
        <f t="shared" si="0"/>
        <v>2711</v>
      </c>
      <c r="R8" s="58">
        <f t="shared" si="5"/>
        <v>469897.63000000006</v>
      </c>
      <c r="S8" s="58">
        <f t="shared" si="1"/>
        <v>0</v>
      </c>
      <c r="T8" s="58"/>
      <c r="U8" s="58">
        <v>10000</v>
      </c>
      <c r="V8" s="58">
        <f t="shared" si="2"/>
        <v>479897.63000000006</v>
      </c>
      <c r="W8" s="58">
        <v>60000</v>
      </c>
      <c r="X8" s="58">
        <v>539897.63000000012</v>
      </c>
      <c r="Y8" s="58">
        <v>20160</v>
      </c>
      <c r="Z8" s="60">
        <v>11517.543120000002</v>
      </c>
      <c r="AA8" s="58">
        <v>0</v>
      </c>
      <c r="AB8" s="58">
        <v>900</v>
      </c>
      <c r="AC8" s="58">
        <v>75000</v>
      </c>
      <c r="AD8" s="58">
        <v>0</v>
      </c>
      <c r="AE8" s="58">
        <v>0</v>
      </c>
      <c r="AF8" s="58">
        <v>107577.54312</v>
      </c>
      <c r="AG8" s="58">
        <v>432320.08688000013</v>
      </c>
      <c r="AH8" s="58">
        <v>0</v>
      </c>
      <c r="AI8" s="58">
        <v>432320.08688000013</v>
      </c>
    </row>
    <row r="9" spans="1:35" x14ac:dyDescent="0.2">
      <c r="A9" s="1">
        <v>8</v>
      </c>
      <c r="B9" s="58" t="s">
        <v>123</v>
      </c>
      <c r="C9" s="58" t="s">
        <v>124</v>
      </c>
      <c r="D9" s="58" t="s">
        <v>125</v>
      </c>
      <c r="E9" s="60" t="s">
        <v>126</v>
      </c>
      <c r="F9" s="58" t="str">
        <f t="shared" ca="1" si="3"/>
        <v>44 ans</v>
      </c>
      <c r="G9" s="58" t="s">
        <v>93</v>
      </c>
      <c r="H9" s="58" t="s">
        <v>26</v>
      </c>
      <c r="I9" s="57" t="s">
        <v>19</v>
      </c>
      <c r="J9" s="58" t="s">
        <v>28</v>
      </c>
      <c r="K9" s="58">
        <v>0</v>
      </c>
      <c r="L9" s="58">
        <v>0</v>
      </c>
      <c r="M9" s="58"/>
      <c r="N9" s="58"/>
      <c r="O9" s="58"/>
      <c r="P9" s="58"/>
      <c r="Q9" s="58" t="str">
        <f t="shared" si="0"/>
        <v>2711</v>
      </c>
      <c r="R9" s="58">
        <f t="shared" si="5"/>
        <v>469897.63000000006</v>
      </c>
      <c r="S9" s="58">
        <f t="shared" si="1"/>
        <v>0</v>
      </c>
      <c r="T9" s="58"/>
      <c r="U9" s="58"/>
      <c r="V9" s="58">
        <f t="shared" si="2"/>
        <v>469897.63000000006</v>
      </c>
      <c r="W9" s="58"/>
      <c r="X9" s="58">
        <v>469897.63000000006</v>
      </c>
      <c r="Y9" s="58">
        <v>20160</v>
      </c>
      <c r="Z9" s="60">
        <v>11277.543120000002</v>
      </c>
      <c r="AA9" s="58">
        <v>3000</v>
      </c>
      <c r="AB9" s="58">
        <v>900</v>
      </c>
      <c r="AC9" s="58">
        <v>116666.66666666667</v>
      </c>
      <c r="AD9" s="58">
        <v>0</v>
      </c>
      <c r="AE9" s="58">
        <v>0</v>
      </c>
      <c r="AF9" s="58">
        <v>152004.20978666667</v>
      </c>
      <c r="AG9" s="58">
        <v>317893.42021333339</v>
      </c>
      <c r="AH9" s="58">
        <v>0</v>
      </c>
      <c r="AI9" s="58">
        <v>317893.42021333339</v>
      </c>
    </row>
    <row r="10" spans="1:35" x14ac:dyDescent="0.2">
      <c r="A10" s="1">
        <v>9</v>
      </c>
      <c r="B10" s="58" t="s">
        <v>127</v>
      </c>
      <c r="C10" s="58" t="s">
        <v>128</v>
      </c>
      <c r="D10" s="58" t="s">
        <v>125</v>
      </c>
      <c r="E10" s="59">
        <v>29260</v>
      </c>
      <c r="F10" s="58" t="str">
        <f t="shared" ca="1" si="3"/>
        <v>40 ans</v>
      </c>
      <c r="G10" s="58" t="s">
        <v>122</v>
      </c>
      <c r="H10" s="58" t="s">
        <v>25</v>
      </c>
      <c r="I10" s="57" t="s">
        <v>19</v>
      </c>
      <c r="J10" s="58" t="s">
        <v>27</v>
      </c>
      <c r="K10" s="58">
        <v>3</v>
      </c>
      <c r="L10" s="58">
        <v>8</v>
      </c>
      <c r="M10" s="58"/>
      <c r="N10" s="58"/>
      <c r="O10" s="58"/>
      <c r="P10" s="58"/>
      <c r="Q10" s="58" t="str">
        <f t="shared" si="0"/>
        <v>2711</v>
      </c>
      <c r="R10" s="58">
        <f t="shared" si="5"/>
        <v>469897.63000000006</v>
      </c>
      <c r="S10" s="58">
        <f t="shared" si="1"/>
        <v>0</v>
      </c>
      <c r="T10" s="58"/>
      <c r="U10" s="58"/>
      <c r="V10" s="58">
        <f t="shared" si="2"/>
        <v>469897.63000000006</v>
      </c>
      <c r="W10" s="58">
        <v>37500</v>
      </c>
      <c r="X10" s="58">
        <v>507397.63000000006</v>
      </c>
      <c r="Y10" s="58">
        <v>20160</v>
      </c>
      <c r="Z10" s="60">
        <v>11277.543120000002</v>
      </c>
      <c r="AA10" s="58">
        <v>3000</v>
      </c>
      <c r="AB10" s="58">
        <v>3600</v>
      </c>
      <c r="AC10" s="58">
        <v>50000</v>
      </c>
      <c r="AD10" s="58">
        <v>55000</v>
      </c>
      <c r="AE10" s="58">
        <v>0</v>
      </c>
      <c r="AF10" s="58">
        <v>143037.54311999999</v>
      </c>
      <c r="AG10" s="58">
        <v>364360.08688000008</v>
      </c>
      <c r="AH10" s="58">
        <v>0</v>
      </c>
      <c r="AI10" s="58">
        <v>364360.08688000008</v>
      </c>
    </row>
    <row r="11" spans="1:35" x14ac:dyDescent="0.2">
      <c r="A11" s="1">
        <v>10</v>
      </c>
      <c r="B11" s="58" t="s">
        <v>129</v>
      </c>
      <c r="C11" s="58" t="s">
        <v>130</v>
      </c>
      <c r="D11" s="58" t="s">
        <v>131</v>
      </c>
      <c r="E11" s="59">
        <v>27977</v>
      </c>
      <c r="F11" s="58" t="str">
        <f t="shared" ca="1" si="3"/>
        <v>43 ans</v>
      </c>
      <c r="G11" s="58" t="s">
        <v>132</v>
      </c>
      <c r="H11" s="58" t="s">
        <v>25</v>
      </c>
      <c r="I11" s="57" t="s">
        <v>19</v>
      </c>
      <c r="J11" s="58" t="s">
        <v>28</v>
      </c>
      <c r="K11" s="58">
        <v>0</v>
      </c>
      <c r="L11" s="58">
        <v>0</v>
      </c>
      <c r="M11" s="58"/>
      <c r="N11" s="58"/>
      <c r="O11" s="58"/>
      <c r="P11" s="58"/>
      <c r="Q11" s="58" t="str">
        <f t="shared" si="0"/>
        <v>2711</v>
      </c>
      <c r="R11" s="58">
        <f t="shared" si="5"/>
        <v>469897.63000000006</v>
      </c>
      <c r="S11" s="58">
        <f t="shared" si="1"/>
        <v>0</v>
      </c>
      <c r="T11" s="58"/>
      <c r="U11" s="58"/>
      <c r="V11" s="58">
        <f t="shared" si="2"/>
        <v>469897.63000000006</v>
      </c>
      <c r="W11" s="58">
        <v>50000</v>
      </c>
      <c r="X11" s="58">
        <v>519897.63000000006</v>
      </c>
      <c r="Y11" s="58">
        <v>20160</v>
      </c>
      <c r="Z11" s="60">
        <v>11277.543120000002</v>
      </c>
      <c r="AA11" s="58">
        <v>0</v>
      </c>
      <c r="AB11" s="58">
        <v>900</v>
      </c>
      <c r="AC11" s="58">
        <v>116666.66666666667</v>
      </c>
      <c r="AD11" s="58">
        <v>0</v>
      </c>
      <c r="AE11" s="58">
        <v>0</v>
      </c>
      <c r="AF11" s="58">
        <v>149004.20978666667</v>
      </c>
      <c r="AG11" s="58">
        <v>370893.42021333339</v>
      </c>
      <c r="AH11" s="58">
        <v>0</v>
      </c>
      <c r="AI11" s="58">
        <v>370893.42021333339</v>
      </c>
    </row>
    <row r="12" spans="1:35" x14ac:dyDescent="0.2">
      <c r="A12" s="1">
        <v>11</v>
      </c>
      <c r="B12" s="58" t="s">
        <v>133</v>
      </c>
      <c r="C12" s="58" t="s">
        <v>134</v>
      </c>
      <c r="D12" s="58" t="s">
        <v>135</v>
      </c>
      <c r="E12" s="60" t="s">
        <v>136</v>
      </c>
      <c r="F12" s="58" t="str">
        <f t="shared" ca="1" si="3"/>
        <v>42 ans</v>
      </c>
      <c r="G12" s="58" t="s">
        <v>137</v>
      </c>
      <c r="H12" s="58" t="s">
        <v>26</v>
      </c>
      <c r="I12" s="57" t="s">
        <v>20</v>
      </c>
      <c r="J12" s="58" t="s">
        <v>28</v>
      </c>
      <c r="K12" s="58">
        <v>0</v>
      </c>
      <c r="L12" s="58">
        <v>0</v>
      </c>
      <c r="M12" s="58">
        <v>8</v>
      </c>
      <c r="N12" s="58"/>
      <c r="O12" s="58">
        <v>3</v>
      </c>
      <c r="P12" s="58">
        <v>2</v>
      </c>
      <c r="Q12" s="58" t="str">
        <f t="shared" si="0"/>
        <v>2020</v>
      </c>
      <c r="R12" s="58">
        <f t="shared" si="4"/>
        <v>350126.60000000003</v>
      </c>
      <c r="S12" s="58">
        <f t="shared" si="1"/>
        <v>42016</v>
      </c>
      <c r="T12" s="58"/>
      <c r="U12" s="58"/>
      <c r="V12" s="58">
        <f t="shared" si="2"/>
        <v>392142.60000000003</v>
      </c>
      <c r="W12" s="58"/>
      <c r="X12" s="58">
        <v>386486.60000000003</v>
      </c>
      <c r="Y12" s="58">
        <v>20160</v>
      </c>
      <c r="Z12" s="60">
        <v>0</v>
      </c>
      <c r="AA12" s="58">
        <v>3000</v>
      </c>
      <c r="AB12" s="58">
        <v>900</v>
      </c>
      <c r="AC12" s="58">
        <v>62500</v>
      </c>
      <c r="AD12" s="58">
        <v>0</v>
      </c>
      <c r="AE12" s="58">
        <v>0</v>
      </c>
      <c r="AF12" s="58">
        <v>86560</v>
      </c>
      <c r="AG12" s="58">
        <v>299926.60000000003</v>
      </c>
      <c r="AH12" s="58">
        <v>25000</v>
      </c>
      <c r="AI12" s="58">
        <v>324926.60000000003</v>
      </c>
    </row>
    <row r="13" spans="1:35" x14ac:dyDescent="0.2">
      <c r="A13" s="1">
        <v>12</v>
      </c>
      <c r="B13" s="58" t="s">
        <v>138</v>
      </c>
      <c r="C13" s="58" t="s">
        <v>139</v>
      </c>
      <c r="D13" s="58" t="s">
        <v>140</v>
      </c>
      <c r="E13" s="60" t="s">
        <v>141</v>
      </c>
      <c r="F13" s="58" t="str">
        <f t="shared" ca="1" si="3"/>
        <v>40 ans</v>
      </c>
      <c r="G13" s="58" t="s">
        <v>142</v>
      </c>
      <c r="H13" s="58" t="s">
        <v>25</v>
      </c>
      <c r="I13" s="57" t="s">
        <v>20</v>
      </c>
      <c r="J13" s="58" t="s">
        <v>28</v>
      </c>
      <c r="K13" s="58">
        <v>0</v>
      </c>
      <c r="L13" s="58">
        <v>0</v>
      </c>
      <c r="M13" s="58"/>
      <c r="N13" s="58"/>
      <c r="O13" s="58">
        <v>2</v>
      </c>
      <c r="P13" s="58"/>
      <c r="Q13" s="58" t="str">
        <f t="shared" si="0"/>
        <v>2020</v>
      </c>
      <c r="R13" s="58">
        <f t="shared" si="4"/>
        <v>350126.60000000003</v>
      </c>
      <c r="S13" s="58">
        <f t="shared" si="1"/>
        <v>6464</v>
      </c>
      <c r="T13" s="58"/>
      <c r="U13" s="58"/>
      <c r="V13" s="58">
        <f t="shared" si="2"/>
        <v>356590.60000000003</v>
      </c>
      <c r="W13" s="58"/>
      <c r="X13" s="58">
        <v>356590.60000000003</v>
      </c>
      <c r="Y13" s="58">
        <v>19969.073600000003</v>
      </c>
      <c r="Z13" s="60">
        <v>0</v>
      </c>
      <c r="AA13" s="58">
        <v>0</v>
      </c>
      <c r="AB13" s="58">
        <v>900</v>
      </c>
      <c r="AC13" s="58">
        <v>62500</v>
      </c>
      <c r="AD13" s="58">
        <v>17500</v>
      </c>
      <c r="AE13" s="58">
        <v>0</v>
      </c>
      <c r="AF13" s="58">
        <v>100869.0736</v>
      </c>
      <c r="AG13" s="58">
        <v>255721.52640000003</v>
      </c>
      <c r="AH13" s="58">
        <v>0</v>
      </c>
      <c r="AI13" s="58">
        <v>255721.52640000003</v>
      </c>
    </row>
    <row r="14" spans="1:35" x14ac:dyDescent="0.2">
      <c r="A14" s="1">
        <v>13</v>
      </c>
      <c r="B14" s="58" t="s">
        <v>143</v>
      </c>
      <c r="C14" s="58" t="s">
        <v>144</v>
      </c>
      <c r="D14" s="58" t="s">
        <v>145</v>
      </c>
      <c r="E14" s="60" t="s">
        <v>146</v>
      </c>
      <c r="F14" s="58" t="str">
        <f t="shared" ca="1" si="3"/>
        <v>37 ans</v>
      </c>
      <c r="G14" s="58" t="s">
        <v>147</v>
      </c>
      <c r="H14" s="58" t="s">
        <v>26</v>
      </c>
      <c r="I14" s="57" t="s">
        <v>20</v>
      </c>
      <c r="J14" s="58" t="s">
        <v>28</v>
      </c>
      <c r="K14" s="58">
        <v>0</v>
      </c>
      <c r="L14" s="58">
        <v>1</v>
      </c>
      <c r="M14" s="58">
        <v>8</v>
      </c>
      <c r="N14" s="58">
        <v>5</v>
      </c>
      <c r="O14" s="58">
        <v>3</v>
      </c>
      <c r="P14" s="58">
        <v>3</v>
      </c>
      <c r="Q14" s="58" t="str">
        <f t="shared" si="0"/>
        <v>2020</v>
      </c>
      <c r="R14" s="58">
        <f t="shared" ref="R14" si="6">$Q$2*173.33</f>
        <v>350126.60000000003</v>
      </c>
      <c r="S14" s="58">
        <f t="shared" si="1"/>
        <v>60196</v>
      </c>
      <c r="T14" s="58"/>
      <c r="U14" s="58"/>
      <c r="V14" s="58">
        <f t="shared" si="2"/>
        <v>410322.60000000003</v>
      </c>
      <c r="W14" s="58"/>
      <c r="X14" s="58">
        <v>404666.60000000003</v>
      </c>
      <c r="Y14" s="58">
        <v>20160</v>
      </c>
      <c r="Z14" s="60">
        <v>0</v>
      </c>
      <c r="AA14" s="58">
        <v>3000</v>
      </c>
      <c r="AB14" s="58">
        <v>900</v>
      </c>
      <c r="AC14" s="58">
        <v>54166.666666666664</v>
      </c>
      <c r="AD14" s="58">
        <v>0</v>
      </c>
      <c r="AE14" s="58">
        <v>15000</v>
      </c>
      <c r="AF14" s="58">
        <v>93226.666666666657</v>
      </c>
      <c r="AG14" s="58">
        <v>311439.93333333335</v>
      </c>
      <c r="AH14" s="58">
        <v>17000</v>
      </c>
      <c r="AI14" s="58">
        <v>328439.93333333335</v>
      </c>
    </row>
    <row r="15" spans="1:35" x14ac:dyDescent="0.2">
      <c r="A15" s="1">
        <v>14</v>
      </c>
      <c r="B15" s="58" t="s">
        <v>148</v>
      </c>
      <c r="C15" s="58" t="s">
        <v>149</v>
      </c>
      <c r="D15" s="58" t="s">
        <v>150</v>
      </c>
      <c r="E15" s="60" t="s">
        <v>151</v>
      </c>
      <c r="F15" s="58" t="str">
        <f t="shared" ca="1" si="3"/>
        <v>34 ans</v>
      </c>
      <c r="G15" s="58" t="s">
        <v>152</v>
      </c>
      <c r="H15" s="58" t="s">
        <v>25</v>
      </c>
      <c r="I15" s="57" t="s">
        <v>21</v>
      </c>
      <c r="J15" s="58" t="s">
        <v>28</v>
      </c>
      <c r="K15" s="58">
        <v>0</v>
      </c>
      <c r="L15" s="58">
        <v>0</v>
      </c>
      <c r="M15" s="58"/>
      <c r="N15" s="58"/>
      <c r="O15" s="58"/>
      <c r="P15" s="58"/>
      <c r="Q15" s="58" t="str">
        <f t="shared" si="0"/>
        <v>1385</v>
      </c>
      <c r="R15" s="58">
        <f>Q15*173.33</f>
        <v>240062.05000000002</v>
      </c>
      <c r="S15" s="58">
        <f t="shared" si="1"/>
        <v>0</v>
      </c>
      <c r="T15" s="58"/>
      <c r="U15" s="58"/>
      <c r="V15" s="58">
        <f t="shared" si="2"/>
        <v>240062.05000000002</v>
      </c>
      <c r="W15" s="58"/>
      <c r="X15" s="58">
        <v>240062.05000000002</v>
      </c>
      <c r="Y15" s="58">
        <v>13443.474800000002</v>
      </c>
      <c r="Z15" s="60">
        <v>0</v>
      </c>
      <c r="AA15" s="58">
        <v>2500</v>
      </c>
      <c r="AB15" s="58">
        <v>900</v>
      </c>
      <c r="AC15" s="58">
        <v>62500</v>
      </c>
      <c r="AD15" s="58">
        <v>0</v>
      </c>
      <c r="AE15" s="58">
        <v>0</v>
      </c>
      <c r="AF15" s="58">
        <v>79343.474799999996</v>
      </c>
      <c r="AG15" s="58">
        <v>160718.57520000002</v>
      </c>
      <c r="AH15" s="58"/>
      <c r="AI15" s="58">
        <v>160718.57520000002</v>
      </c>
    </row>
    <row r="16" spans="1:35" x14ac:dyDescent="0.2">
      <c r="A16" s="1">
        <v>15</v>
      </c>
      <c r="B16" s="58" t="s">
        <v>153</v>
      </c>
      <c r="C16" s="58" t="s">
        <v>154</v>
      </c>
      <c r="D16" s="58" t="s">
        <v>150</v>
      </c>
      <c r="E16" s="60" t="s">
        <v>155</v>
      </c>
      <c r="F16" s="58" t="str">
        <f t="shared" ca="1" si="3"/>
        <v>36 ans</v>
      </c>
      <c r="G16" s="58" t="s">
        <v>152</v>
      </c>
      <c r="H16" s="58" t="s">
        <v>25</v>
      </c>
      <c r="I16" s="57" t="s">
        <v>21</v>
      </c>
      <c r="J16" s="58" t="s">
        <v>28</v>
      </c>
      <c r="K16" s="58">
        <v>0</v>
      </c>
      <c r="L16" s="58">
        <v>0</v>
      </c>
      <c r="M16" s="58"/>
      <c r="N16" s="58">
        <v>5</v>
      </c>
      <c r="O16" s="58">
        <v>5</v>
      </c>
      <c r="P16" s="58"/>
      <c r="Q16" s="58" t="str">
        <f t="shared" si="0"/>
        <v>1385</v>
      </c>
      <c r="R16" s="58">
        <f t="shared" ref="R16:R18" si="7">Q16*173.33</f>
        <v>240062.05000000002</v>
      </c>
      <c r="S16" s="58">
        <f t="shared" si="1"/>
        <v>20775</v>
      </c>
      <c r="T16" s="58"/>
      <c r="U16" s="58"/>
      <c r="V16" s="58">
        <f t="shared" si="2"/>
        <v>260837.05000000002</v>
      </c>
      <c r="W16" s="58"/>
      <c r="X16" s="58">
        <v>260837.05000000002</v>
      </c>
      <c r="Y16" s="58">
        <v>14606.874800000001</v>
      </c>
      <c r="Z16" s="60">
        <v>0</v>
      </c>
      <c r="AA16" s="58">
        <v>0</v>
      </c>
      <c r="AB16" s="58">
        <v>900</v>
      </c>
      <c r="AC16" s="58">
        <v>62500</v>
      </c>
      <c r="AD16" s="58">
        <v>0</v>
      </c>
      <c r="AE16" s="58">
        <v>0</v>
      </c>
      <c r="AF16" s="58">
        <v>78006.874800000005</v>
      </c>
      <c r="AG16" s="58">
        <v>182830.1752</v>
      </c>
      <c r="AH16" s="58">
        <v>0</v>
      </c>
      <c r="AI16" s="58">
        <v>182830.1752</v>
      </c>
    </row>
    <row r="17" spans="1:35" x14ac:dyDescent="0.2">
      <c r="A17" s="1">
        <v>16</v>
      </c>
      <c r="B17" s="58" t="s">
        <v>156</v>
      </c>
      <c r="C17" s="58" t="s">
        <v>157</v>
      </c>
      <c r="D17" s="58" t="s">
        <v>158</v>
      </c>
      <c r="E17" s="60" t="s">
        <v>159</v>
      </c>
      <c r="F17" s="58" t="str">
        <f t="shared" ca="1" si="3"/>
        <v>42 ans</v>
      </c>
      <c r="G17" s="58" t="s">
        <v>160</v>
      </c>
      <c r="H17" s="58" t="s">
        <v>25</v>
      </c>
      <c r="I17" s="57" t="s">
        <v>21</v>
      </c>
      <c r="J17" s="58" t="s">
        <v>27</v>
      </c>
      <c r="K17" s="58">
        <v>1</v>
      </c>
      <c r="L17" s="58">
        <v>4</v>
      </c>
      <c r="M17" s="58">
        <v>8</v>
      </c>
      <c r="N17" s="58"/>
      <c r="O17" s="58"/>
      <c r="P17" s="58">
        <v>6</v>
      </c>
      <c r="Q17" s="58" t="str">
        <f t="shared" si="0"/>
        <v>1385</v>
      </c>
      <c r="R17" s="58">
        <f t="shared" si="7"/>
        <v>240062.05000000002</v>
      </c>
      <c r="S17" s="58">
        <f t="shared" si="1"/>
        <v>33240</v>
      </c>
      <c r="T17" s="58"/>
      <c r="U17" s="58">
        <v>10000</v>
      </c>
      <c r="V17" s="58">
        <f t="shared" si="2"/>
        <v>283302.05000000005</v>
      </c>
      <c r="W17" s="58"/>
      <c r="X17" s="58">
        <v>27952804.050000001</v>
      </c>
      <c r="Y17" s="58">
        <v>20160</v>
      </c>
      <c r="Z17" s="60">
        <v>0</v>
      </c>
      <c r="AA17" s="58">
        <v>0</v>
      </c>
      <c r="AB17" s="58">
        <v>0</v>
      </c>
      <c r="AC17" s="58">
        <v>10531954.933333334</v>
      </c>
      <c r="AD17" s="58">
        <v>0</v>
      </c>
      <c r="AE17" s="58">
        <v>0</v>
      </c>
      <c r="AF17" s="58">
        <v>10552114.933333334</v>
      </c>
      <c r="AG17" s="58">
        <v>17400689.116666667</v>
      </c>
      <c r="AH17" s="58">
        <v>0</v>
      </c>
      <c r="AI17" s="58">
        <v>17400689.116666667</v>
      </c>
    </row>
    <row r="18" spans="1:35" x14ac:dyDescent="0.2">
      <c r="A18" s="1">
        <v>17</v>
      </c>
      <c r="B18" s="58" t="s">
        <v>161</v>
      </c>
      <c r="C18" s="58" t="s">
        <v>162</v>
      </c>
      <c r="D18" s="58" t="s">
        <v>158</v>
      </c>
      <c r="E18" s="60" t="s">
        <v>163</v>
      </c>
      <c r="F18" s="58" t="str">
        <f t="shared" ca="1" si="3"/>
        <v>43 ans</v>
      </c>
      <c r="G18" s="58" t="s">
        <v>164</v>
      </c>
      <c r="H18" s="58" t="s">
        <v>25</v>
      </c>
      <c r="I18" s="57" t="s">
        <v>21</v>
      </c>
      <c r="J18" s="58" t="s">
        <v>27</v>
      </c>
      <c r="K18" s="58">
        <v>1</v>
      </c>
      <c r="L18" s="58">
        <v>3</v>
      </c>
      <c r="M18" s="58"/>
      <c r="N18" s="58">
        <v>2</v>
      </c>
      <c r="O18" s="58">
        <v>5</v>
      </c>
      <c r="P18" s="58"/>
      <c r="Q18" s="58" t="str">
        <f t="shared" si="0"/>
        <v>1385</v>
      </c>
      <c r="R18" s="58">
        <f t="shared" si="7"/>
        <v>240062.05000000002</v>
      </c>
      <c r="S18" s="58">
        <f t="shared" si="1"/>
        <v>14958</v>
      </c>
      <c r="T18" s="58"/>
      <c r="U18" s="58"/>
      <c r="V18" s="58">
        <f t="shared" si="2"/>
        <v>255020.05000000002</v>
      </c>
      <c r="W18" s="58"/>
      <c r="X18" s="58">
        <v>255020.05000000002</v>
      </c>
      <c r="Y18" s="58">
        <v>14281.122800000001</v>
      </c>
      <c r="Z18" s="60">
        <v>0</v>
      </c>
      <c r="AA18" s="58">
        <v>0</v>
      </c>
      <c r="AB18" s="58">
        <v>1800</v>
      </c>
      <c r="AC18" s="58">
        <v>29166.666666666668</v>
      </c>
      <c r="AD18" s="58">
        <v>20000</v>
      </c>
      <c r="AE18" s="58">
        <v>0</v>
      </c>
      <c r="AF18" s="58">
        <v>65247.789466666669</v>
      </c>
      <c r="AG18" s="58">
        <v>189772.26053333335</v>
      </c>
      <c r="AH18" s="58">
        <v>0</v>
      </c>
      <c r="AI18" s="58">
        <v>189772.26053333335</v>
      </c>
    </row>
    <row r="19" spans="1:35" x14ac:dyDescent="0.2">
      <c r="A19" s="1">
        <v>18</v>
      </c>
      <c r="B19" s="58" t="s">
        <v>165</v>
      </c>
      <c r="C19" s="58" t="s">
        <v>166</v>
      </c>
      <c r="D19" s="58" t="s">
        <v>167</v>
      </c>
      <c r="E19" s="60" t="s">
        <v>168</v>
      </c>
      <c r="F19" s="58" t="str">
        <f t="shared" ca="1" si="3"/>
        <v>38 ans</v>
      </c>
      <c r="G19" s="58" t="s">
        <v>169</v>
      </c>
      <c r="H19" s="58" t="s">
        <v>25</v>
      </c>
      <c r="I19" s="57" t="s">
        <v>19</v>
      </c>
      <c r="J19" s="58" t="s">
        <v>27</v>
      </c>
      <c r="K19" s="58">
        <v>2</v>
      </c>
      <c r="L19" s="58">
        <v>7</v>
      </c>
      <c r="M19" s="58"/>
      <c r="N19" s="58"/>
      <c r="O19" s="58"/>
      <c r="P19" s="58"/>
      <c r="Q19" s="58" t="str">
        <f t="shared" si="0"/>
        <v>2711</v>
      </c>
      <c r="R19" s="58">
        <f t="shared" ref="R19:R51" si="8">Q19*173.33</f>
        <v>469897.63000000006</v>
      </c>
      <c r="S19" s="58">
        <f t="shared" si="1"/>
        <v>0</v>
      </c>
      <c r="T19" s="58"/>
      <c r="U19" s="58">
        <v>10000</v>
      </c>
      <c r="V19" s="58">
        <f t="shared" si="2"/>
        <v>479897.63000000006</v>
      </c>
      <c r="W19" s="58">
        <v>65000</v>
      </c>
      <c r="X19" s="58">
        <v>544897.63000000012</v>
      </c>
      <c r="Y19" s="58">
        <v>20160</v>
      </c>
      <c r="Z19" s="60">
        <v>11517.543120000002</v>
      </c>
      <c r="AA19" s="58">
        <v>15000</v>
      </c>
      <c r="AB19" s="58">
        <v>2700</v>
      </c>
      <c r="AC19" s="58">
        <v>50000</v>
      </c>
      <c r="AD19" s="58">
        <v>0</v>
      </c>
      <c r="AE19" s="58">
        <v>0</v>
      </c>
      <c r="AF19" s="58">
        <v>99377.543120000002</v>
      </c>
      <c r="AG19" s="58">
        <v>445520.08688000013</v>
      </c>
      <c r="AH19" s="58">
        <v>0</v>
      </c>
      <c r="AI19" s="58">
        <v>445520.08688000013</v>
      </c>
    </row>
    <row r="20" spans="1:35" x14ac:dyDescent="0.2">
      <c r="A20" s="1">
        <v>19</v>
      </c>
      <c r="B20" s="58" t="s">
        <v>170</v>
      </c>
      <c r="C20" s="58" t="s">
        <v>171</v>
      </c>
      <c r="D20" s="58" t="s">
        <v>172</v>
      </c>
      <c r="E20" s="60" t="s">
        <v>173</v>
      </c>
      <c r="F20" s="58" t="str">
        <f t="shared" ca="1" si="3"/>
        <v>35 ans</v>
      </c>
      <c r="G20" s="58" t="s">
        <v>174</v>
      </c>
      <c r="H20" s="58" t="s">
        <v>25</v>
      </c>
      <c r="I20" s="57" t="s">
        <v>21</v>
      </c>
      <c r="J20" s="58" t="s">
        <v>27</v>
      </c>
      <c r="K20" s="58">
        <v>1</v>
      </c>
      <c r="L20" s="58">
        <v>1</v>
      </c>
      <c r="M20" s="58"/>
      <c r="N20" s="58"/>
      <c r="O20" s="58"/>
      <c r="P20" s="58">
        <v>8</v>
      </c>
      <c r="Q20" s="58" t="str">
        <f t="shared" si="0"/>
        <v>1385</v>
      </c>
      <c r="R20" s="58">
        <f t="shared" si="8"/>
        <v>240062.05000000002</v>
      </c>
      <c r="S20" s="58">
        <f t="shared" si="1"/>
        <v>22160</v>
      </c>
      <c r="T20" s="58"/>
      <c r="U20" s="58"/>
      <c r="V20" s="58">
        <f t="shared" si="2"/>
        <v>262222.05000000005</v>
      </c>
      <c r="W20" s="58"/>
      <c r="X20" s="58">
        <v>262222.05000000005</v>
      </c>
      <c r="Y20" s="58">
        <v>14684.434800000003</v>
      </c>
      <c r="Z20" s="60">
        <v>0</v>
      </c>
      <c r="AA20" s="58">
        <v>3000</v>
      </c>
      <c r="AB20" s="58">
        <v>1800</v>
      </c>
      <c r="AC20" s="58">
        <v>45833.333333333336</v>
      </c>
      <c r="AD20" s="58">
        <v>0</v>
      </c>
      <c r="AE20" s="58">
        <v>0</v>
      </c>
      <c r="AF20" s="58">
        <v>65317.768133333338</v>
      </c>
      <c r="AG20" s="58">
        <v>196904.28186666672</v>
      </c>
      <c r="AH20" s="58">
        <v>0</v>
      </c>
      <c r="AI20" s="58">
        <v>196904.28186666672</v>
      </c>
    </row>
    <row r="21" spans="1:35" x14ac:dyDescent="0.2">
      <c r="A21" s="1">
        <v>20</v>
      </c>
      <c r="B21" s="58" t="s">
        <v>175</v>
      </c>
      <c r="C21" s="58" t="s">
        <v>176</v>
      </c>
      <c r="D21" s="58" t="s">
        <v>172</v>
      </c>
      <c r="E21" s="60" t="s">
        <v>177</v>
      </c>
      <c r="F21" s="58" t="str">
        <f t="shared" ca="1" si="3"/>
        <v>42 ans</v>
      </c>
      <c r="G21" s="58" t="s">
        <v>178</v>
      </c>
      <c r="H21" s="58" t="s">
        <v>25</v>
      </c>
      <c r="I21" s="57" t="s">
        <v>20</v>
      </c>
      <c r="J21" s="58" t="s">
        <v>27</v>
      </c>
      <c r="K21" s="58">
        <v>1</v>
      </c>
      <c r="L21" s="58">
        <v>3</v>
      </c>
      <c r="M21" s="58">
        <v>8</v>
      </c>
      <c r="N21" s="58">
        <v>3</v>
      </c>
      <c r="O21" s="58"/>
      <c r="P21" s="58"/>
      <c r="Q21" s="58" t="str">
        <f t="shared" si="0"/>
        <v>2020</v>
      </c>
      <c r="R21" s="58">
        <f t="shared" si="8"/>
        <v>350126.60000000003</v>
      </c>
      <c r="S21" s="58">
        <f t="shared" si="1"/>
        <v>32724</v>
      </c>
      <c r="T21" s="58">
        <v>13500</v>
      </c>
      <c r="U21" s="58"/>
      <c r="V21" s="58">
        <f t="shared" si="2"/>
        <v>396350.60000000003</v>
      </c>
      <c r="W21" s="58"/>
      <c r="X21" s="58">
        <v>390694.60000000003</v>
      </c>
      <c r="Y21" s="58">
        <v>20160</v>
      </c>
      <c r="Z21" s="60">
        <v>0</v>
      </c>
      <c r="AA21" s="58">
        <v>2500</v>
      </c>
      <c r="AB21" s="58">
        <v>1800</v>
      </c>
      <c r="AC21" s="58">
        <v>29166.666666666668</v>
      </c>
      <c r="AD21" s="58">
        <v>0</v>
      </c>
      <c r="AE21" s="58">
        <v>0</v>
      </c>
      <c r="AF21" s="58">
        <v>53626.666666666672</v>
      </c>
      <c r="AG21" s="58">
        <v>337067.93333333335</v>
      </c>
      <c r="AH21" s="58">
        <v>0</v>
      </c>
      <c r="AI21" s="58">
        <v>337067.93333333335</v>
      </c>
    </row>
    <row r="22" spans="1:35" x14ac:dyDescent="0.2">
      <c r="A22" s="1">
        <v>21</v>
      </c>
      <c r="B22" s="58" t="s">
        <v>179</v>
      </c>
      <c r="C22" s="58" t="s">
        <v>180</v>
      </c>
      <c r="D22" s="58" t="s">
        <v>181</v>
      </c>
      <c r="E22" s="59">
        <v>28924</v>
      </c>
      <c r="F22" s="58" t="str">
        <f t="shared" ca="1" si="3"/>
        <v>41 ans</v>
      </c>
      <c r="G22" s="58" t="s">
        <v>182</v>
      </c>
      <c r="H22" s="58" t="s">
        <v>25</v>
      </c>
      <c r="I22" s="57" t="s">
        <v>20</v>
      </c>
      <c r="J22" s="58" t="s">
        <v>27</v>
      </c>
      <c r="K22" s="58">
        <v>2</v>
      </c>
      <c r="L22" s="58">
        <v>4</v>
      </c>
      <c r="M22" s="58">
        <v>8</v>
      </c>
      <c r="N22" s="58">
        <v>4</v>
      </c>
      <c r="O22" s="58">
        <v>4</v>
      </c>
      <c r="P22" s="58">
        <v>6</v>
      </c>
      <c r="Q22" s="58" t="str">
        <f t="shared" si="0"/>
        <v>2020</v>
      </c>
      <c r="R22" s="58">
        <f t="shared" si="8"/>
        <v>350126.60000000003</v>
      </c>
      <c r="S22" s="58">
        <f t="shared" si="1"/>
        <v>72720</v>
      </c>
      <c r="T22" s="58"/>
      <c r="U22" s="58"/>
      <c r="V22" s="58">
        <f t="shared" si="2"/>
        <v>422846.60000000003</v>
      </c>
      <c r="W22" s="58"/>
      <c r="X22" s="58">
        <v>417190.60000000003</v>
      </c>
      <c r="Y22" s="58">
        <v>20160</v>
      </c>
      <c r="Z22" s="60">
        <v>0</v>
      </c>
      <c r="AA22" s="58">
        <v>0</v>
      </c>
      <c r="AB22" s="58">
        <v>2700</v>
      </c>
      <c r="AC22" s="58">
        <v>75000</v>
      </c>
      <c r="AD22" s="58">
        <v>0</v>
      </c>
      <c r="AE22" s="58"/>
      <c r="AF22" s="58">
        <v>97860</v>
      </c>
      <c r="AG22" s="58">
        <v>319330.60000000003</v>
      </c>
      <c r="AH22" s="58">
        <v>20000</v>
      </c>
      <c r="AI22" s="58">
        <v>339330.60000000003</v>
      </c>
    </row>
    <row r="23" spans="1:35" x14ac:dyDescent="0.2">
      <c r="A23" s="1">
        <v>22</v>
      </c>
      <c r="B23" s="58" t="s">
        <v>183</v>
      </c>
      <c r="C23" s="58" t="s">
        <v>184</v>
      </c>
      <c r="D23" s="58" t="s">
        <v>181</v>
      </c>
      <c r="E23" s="59">
        <v>30263</v>
      </c>
      <c r="F23" s="58" t="str">
        <f t="shared" ca="1" si="3"/>
        <v>37 ans</v>
      </c>
      <c r="G23" s="58" t="s">
        <v>185</v>
      </c>
      <c r="H23" s="58" t="s">
        <v>26</v>
      </c>
      <c r="I23" s="57" t="s">
        <v>20</v>
      </c>
      <c r="J23" s="58" t="s">
        <v>27</v>
      </c>
      <c r="K23" s="58">
        <v>0</v>
      </c>
      <c r="L23" s="58">
        <v>3</v>
      </c>
      <c r="M23" s="58"/>
      <c r="N23" s="58"/>
      <c r="O23" s="58"/>
      <c r="P23" s="58"/>
      <c r="Q23" s="58" t="str">
        <f t="shared" si="0"/>
        <v>2020</v>
      </c>
      <c r="R23" s="58">
        <f t="shared" si="8"/>
        <v>350126.60000000003</v>
      </c>
      <c r="S23" s="58">
        <f t="shared" si="1"/>
        <v>0</v>
      </c>
      <c r="T23" s="58"/>
      <c r="U23" s="58">
        <v>10000</v>
      </c>
      <c r="V23" s="58">
        <f t="shared" si="2"/>
        <v>360126.60000000003</v>
      </c>
      <c r="W23" s="58"/>
      <c r="X23" s="58">
        <v>360126.60000000003</v>
      </c>
      <c r="Y23" s="58">
        <v>20160</v>
      </c>
      <c r="Z23" s="60">
        <v>0</v>
      </c>
      <c r="AA23" s="58">
        <v>0</v>
      </c>
      <c r="AB23" s="58">
        <v>900</v>
      </c>
      <c r="AC23" s="58">
        <v>29166.666666666668</v>
      </c>
      <c r="AD23" s="58">
        <v>0</v>
      </c>
      <c r="AE23" s="58">
        <v>0</v>
      </c>
      <c r="AF23" s="58">
        <v>50226.666666666672</v>
      </c>
      <c r="AG23" s="58">
        <v>309899.93333333335</v>
      </c>
      <c r="AH23" s="58">
        <v>0</v>
      </c>
      <c r="AI23" s="58">
        <v>309899.93333333335</v>
      </c>
    </row>
    <row r="24" spans="1:35" x14ac:dyDescent="0.2">
      <c r="A24" s="1">
        <v>23</v>
      </c>
      <c r="B24" s="58" t="s">
        <v>186</v>
      </c>
      <c r="C24" s="58" t="s">
        <v>187</v>
      </c>
      <c r="D24" s="58" t="s">
        <v>188</v>
      </c>
      <c r="E24" s="59">
        <v>27489</v>
      </c>
      <c r="F24" s="58" t="str">
        <f t="shared" ca="1" si="3"/>
        <v>45 ans</v>
      </c>
      <c r="G24" s="58" t="s">
        <v>189</v>
      </c>
      <c r="H24" s="58" t="s">
        <v>25</v>
      </c>
      <c r="I24" s="57" t="s">
        <v>21</v>
      </c>
      <c r="J24" s="58" t="s">
        <v>27</v>
      </c>
      <c r="K24" s="58">
        <v>2</v>
      </c>
      <c r="L24" s="58">
        <v>5</v>
      </c>
      <c r="M24" s="58"/>
      <c r="N24" s="58"/>
      <c r="O24" s="58">
        <v>3</v>
      </c>
      <c r="P24" s="58">
        <v>6</v>
      </c>
      <c r="Q24" s="58" t="str">
        <f t="shared" si="0"/>
        <v>1385</v>
      </c>
      <c r="R24" s="58">
        <f t="shared" si="8"/>
        <v>240062.05000000002</v>
      </c>
      <c r="S24" s="58">
        <f t="shared" si="1"/>
        <v>23268</v>
      </c>
      <c r="T24" s="58"/>
      <c r="U24" s="58"/>
      <c r="V24" s="58">
        <f t="shared" si="2"/>
        <v>263330.05000000005</v>
      </c>
      <c r="W24" s="58"/>
      <c r="X24" s="58">
        <v>313330.05000000005</v>
      </c>
      <c r="Y24" s="58">
        <v>14746.482800000003</v>
      </c>
      <c r="Z24" s="60">
        <v>0</v>
      </c>
      <c r="AA24" s="58">
        <v>0</v>
      </c>
      <c r="AB24" s="58">
        <v>2700</v>
      </c>
      <c r="AC24" s="58">
        <v>12500</v>
      </c>
      <c r="AD24" s="58">
        <v>0</v>
      </c>
      <c r="AE24" s="58">
        <v>0</v>
      </c>
      <c r="AF24" s="58">
        <v>29946.482800000005</v>
      </c>
      <c r="AG24" s="58">
        <v>283383.56720000005</v>
      </c>
      <c r="AH24" s="58">
        <v>0</v>
      </c>
      <c r="AI24" s="58">
        <v>283383.56720000005</v>
      </c>
    </row>
    <row r="25" spans="1:35" x14ac:dyDescent="0.2">
      <c r="A25" s="1">
        <v>24</v>
      </c>
      <c r="B25" s="58" t="s">
        <v>190</v>
      </c>
      <c r="C25" s="58" t="s">
        <v>191</v>
      </c>
      <c r="D25" s="58" t="s">
        <v>192</v>
      </c>
      <c r="E25" s="60" t="s">
        <v>193</v>
      </c>
      <c r="F25" s="58" t="str">
        <f t="shared" ca="1" si="3"/>
        <v>40 ans</v>
      </c>
      <c r="G25" s="58" t="s">
        <v>194</v>
      </c>
      <c r="H25" s="58" t="s">
        <v>25</v>
      </c>
      <c r="I25" s="57" t="s">
        <v>21</v>
      </c>
      <c r="J25" s="58" t="s">
        <v>27</v>
      </c>
      <c r="K25" s="58">
        <v>1</v>
      </c>
      <c r="L25" s="58">
        <v>0</v>
      </c>
      <c r="M25" s="58">
        <v>8</v>
      </c>
      <c r="N25" s="58">
        <v>5</v>
      </c>
      <c r="O25" s="58">
        <v>2</v>
      </c>
      <c r="P25" s="58"/>
      <c r="Q25" s="58" t="str">
        <f t="shared" si="0"/>
        <v>1385</v>
      </c>
      <c r="R25" s="58">
        <f t="shared" si="8"/>
        <v>240062.05000000002</v>
      </c>
      <c r="S25" s="58">
        <f t="shared" si="1"/>
        <v>30747</v>
      </c>
      <c r="T25" s="58"/>
      <c r="U25" s="58">
        <v>10000</v>
      </c>
      <c r="V25" s="58">
        <f t="shared" si="2"/>
        <v>280809.05000000005</v>
      </c>
      <c r="W25" s="58"/>
      <c r="X25" s="58">
        <v>276931.05</v>
      </c>
      <c r="Y25" s="58">
        <v>15508.138799999999</v>
      </c>
      <c r="Z25" s="60">
        <v>0</v>
      </c>
      <c r="AA25" s="58">
        <v>2500</v>
      </c>
      <c r="AB25" s="58">
        <v>1800</v>
      </c>
      <c r="AC25" s="58">
        <v>54166.666666666664</v>
      </c>
      <c r="AD25" s="58">
        <v>0</v>
      </c>
      <c r="AE25" s="58">
        <v>0</v>
      </c>
      <c r="AF25" s="58">
        <v>73974.805466666658</v>
      </c>
      <c r="AG25" s="58">
        <v>202956.24453333335</v>
      </c>
      <c r="AH25" s="58">
        <v>0</v>
      </c>
      <c r="AI25" s="58">
        <v>202956.24453333335</v>
      </c>
    </row>
    <row r="26" spans="1:35" x14ac:dyDescent="0.2">
      <c r="A26" s="1">
        <v>25</v>
      </c>
      <c r="B26" s="58" t="s">
        <v>195</v>
      </c>
      <c r="C26" s="58" t="s">
        <v>196</v>
      </c>
      <c r="D26" s="58" t="s">
        <v>192</v>
      </c>
      <c r="E26" s="59">
        <v>28525</v>
      </c>
      <c r="F26" s="58" t="str">
        <f t="shared" ca="1" si="3"/>
        <v>42 ans</v>
      </c>
      <c r="G26" s="58" t="s">
        <v>197</v>
      </c>
      <c r="H26" s="58" t="s">
        <v>26</v>
      </c>
      <c r="I26" s="57" t="s">
        <v>21</v>
      </c>
      <c r="J26" s="58" t="s">
        <v>28</v>
      </c>
      <c r="K26" s="58">
        <v>0</v>
      </c>
      <c r="L26" s="58">
        <v>0</v>
      </c>
      <c r="M26" s="58"/>
      <c r="N26" s="58">
        <v>4</v>
      </c>
      <c r="O26" s="58"/>
      <c r="P26" s="58">
        <v>5</v>
      </c>
      <c r="Q26" s="58" t="str">
        <f t="shared" si="0"/>
        <v>1385</v>
      </c>
      <c r="R26" s="58">
        <f t="shared" si="8"/>
        <v>240062.05000000002</v>
      </c>
      <c r="S26" s="58">
        <f t="shared" si="1"/>
        <v>21606</v>
      </c>
      <c r="T26" s="58"/>
      <c r="U26" s="58"/>
      <c r="V26" s="58">
        <f t="shared" si="2"/>
        <v>261668.05000000002</v>
      </c>
      <c r="W26" s="58"/>
      <c r="X26" s="58">
        <v>253912.05000000002</v>
      </c>
      <c r="Y26" s="58">
        <v>14219.074800000002</v>
      </c>
      <c r="Z26" s="60">
        <v>0</v>
      </c>
      <c r="AA26" s="58">
        <v>3000</v>
      </c>
      <c r="AB26" s="58">
        <v>900</v>
      </c>
      <c r="AC26" s="58">
        <v>62500</v>
      </c>
      <c r="AD26" s="58">
        <v>30000</v>
      </c>
      <c r="AE26" s="58">
        <v>0</v>
      </c>
      <c r="AF26" s="58">
        <v>110619.0748</v>
      </c>
      <c r="AG26" s="58">
        <v>143292.97520000002</v>
      </c>
      <c r="AH26" s="58">
        <v>0</v>
      </c>
      <c r="AI26" s="58">
        <v>143292.97520000002</v>
      </c>
    </row>
    <row r="27" spans="1:35" x14ac:dyDescent="0.2">
      <c r="A27" s="1">
        <v>26</v>
      </c>
      <c r="B27" s="58" t="s">
        <v>198</v>
      </c>
      <c r="C27" s="58" t="s">
        <v>199</v>
      </c>
      <c r="D27" s="58" t="s">
        <v>200</v>
      </c>
      <c r="E27" s="60" t="s">
        <v>201</v>
      </c>
      <c r="F27" s="58" t="str">
        <f t="shared" ca="1" si="3"/>
        <v>34 ans</v>
      </c>
      <c r="G27" s="58" t="s">
        <v>202</v>
      </c>
      <c r="H27" s="58" t="s">
        <v>25</v>
      </c>
      <c r="I27" s="57" t="s">
        <v>21</v>
      </c>
      <c r="J27" s="58" t="s">
        <v>28</v>
      </c>
      <c r="K27" s="58">
        <v>0</v>
      </c>
      <c r="L27" s="58">
        <v>0</v>
      </c>
      <c r="M27" s="58">
        <v>8</v>
      </c>
      <c r="N27" s="58">
        <v>4</v>
      </c>
      <c r="O27" s="58">
        <v>5</v>
      </c>
      <c r="P27" s="58">
        <v>7</v>
      </c>
      <c r="Q27" s="58" t="str">
        <f t="shared" si="0"/>
        <v>1385</v>
      </c>
      <c r="R27" s="58">
        <f t="shared" si="8"/>
        <v>240062.05000000002</v>
      </c>
      <c r="S27" s="58">
        <f t="shared" si="1"/>
        <v>54846</v>
      </c>
      <c r="T27" s="58">
        <v>12000</v>
      </c>
      <c r="U27" s="58"/>
      <c r="V27" s="58">
        <f t="shared" si="2"/>
        <v>306908.05000000005</v>
      </c>
      <c r="W27" s="58"/>
      <c r="X27" s="58">
        <v>303030.05</v>
      </c>
      <c r="Y27" s="58">
        <v>16969.682799999999</v>
      </c>
      <c r="Z27" s="60">
        <v>0</v>
      </c>
      <c r="AA27" s="58">
        <v>0</v>
      </c>
      <c r="AB27" s="58">
        <v>900</v>
      </c>
      <c r="AC27" s="58">
        <v>62500</v>
      </c>
      <c r="AD27" s="58">
        <v>0</v>
      </c>
      <c r="AE27" s="58">
        <v>0</v>
      </c>
      <c r="AF27" s="58">
        <v>80369.682799999995</v>
      </c>
      <c r="AG27" s="58">
        <v>222660.36719999998</v>
      </c>
      <c r="AH27" s="58">
        <v>0</v>
      </c>
      <c r="AI27" s="58">
        <v>222660.36719999998</v>
      </c>
    </row>
    <row r="28" spans="1:35" x14ac:dyDescent="0.2">
      <c r="A28" s="1">
        <v>27</v>
      </c>
      <c r="B28" s="58" t="s">
        <v>203</v>
      </c>
      <c r="C28" s="58" t="s">
        <v>157</v>
      </c>
      <c r="D28" s="58" t="s">
        <v>204</v>
      </c>
      <c r="E28" s="60" t="s">
        <v>205</v>
      </c>
      <c r="F28" s="58" t="str">
        <f t="shared" ca="1" si="3"/>
        <v>34 ans</v>
      </c>
      <c r="G28" s="58" t="s">
        <v>206</v>
      </c>
      <c r="H28" s="58" t="s">
        <v>25</v>
      </c>
      <c r="I28" s="57" t="s">
        <v>19</v>
      </c>
      <c r="J28" s="58" t="s">
        <v>28</v>
      </c>
      <c r="K28" s="58">
        <v>0</v>
      </c>
      <c r="L28" s="58">
        <v>0</v>
      </c>
      <c r="M28" s="58"/>
      <c r="N28" s="58"/>
      <c r="O28" s="58"/>
      <c r="P28" s="58"/>
      <c r="Q28" s="58" t="str">
        <f t="shared" si="0"/>
        <v>2711</v>
      </c>
      <c r="R28" s="58">
        <f t="shared" si="8"/>
        <v>469897.63000000006</v>
      </c>
      <c r="S28" s="58">
        <f t="shared" si="1"/>
        <v>0</v>
      </c>
      <c r="T28" s="58"/>
      <c r="U28" s="58"/>
      <c r="V28" s="58">
        <f t="shared" si="2"/>
        <v>469897.63000000006</v>
      </c>
      <c r="W28" s="58">
        <v>15000</v>
      </c>
      <c r="X28" s="58">
        <v>484897.63000000006</v>
      </c>
      <c r="Y28" s="58">
        <v>20160</v>
      </c>
      <c r="Z28" s="60">
        <v>11277.543120000002</v>
      </c>
      <c r="AA28" s="58">
        <v>3000</v>
      </c>
      <c r="AB28" s="58">
        <v>900</v>
      </c>
      <c r="AC28" s="58">
        <v>116666.66666666667</v>
      </c>
      <c r="AD28" s="58">
        <v>0</v>
      </c>
      <c r="AE28" s="58">
        <v>0</v>
      </c>
      <c r="AF28" s="58">
        <v>152004.20978666667</v>
      </c>
      <c r="AG28" s="58">
        <v>332893.42021333339</v>
      </c>
      <c r="AH28" s="58">
        <v>0</v>
      </c>
      <c r="AI28" s="58">
        <v>332893.42021333339</v>
      </c>
    </row>
    <row r="29" spans="1:35" x14ac:dyDescent="0.2">
      <c r="A29" s="1">
        <v>28</v>
      </c>
      <c r="B29" s="58" t="s">
        <v>207</v>
      </c>
      <c r="C29" s="58" t="s">
        <v>208</v>
      </c>
      <c r="D29" s="58" t="s">
        <v>209</v>
      </c>
      <c r="E29" s="59">
        <v>29901</v>
      </c>
      <c r="F29" s="58" t="str">
        <f t="shared" ca="1" si="3"/>
        <v>38 ans</v>
      </c>
      <c r="G29" s="58" t="s">
        <v>210</v>
      </c>
      <c r="H29" s="58" t="s">
        <v>25</v>
      </c>
      <c r="I29" s="57" t="s">
        <v>20</v>
      </c>
      <c r="J29" s="58" t="s">
        <v>28</v>
      </c>
      <c r="K29" s="58">
        <v>0</v>
      </c>
      <c r="L29" s="58">
        <v>0</v>
      </c>
      <c r="M29" s="58">
        <v>8</v>
      </c>
      <c r="N29" s="58">
        <v>2</v>
      </c>
      <c r="O29" s="58"/>
      <c r="P29" s="58">
        <v>5</v>
      </c>
      <c r="Q29" s="58" t="str">
        <f t="shared" si="0"/>
        <v>2020</v>
      </c>
      <c r="R29" s="58">
        <f t="shared" si="8"/>
        <v>350126.60000000003</v>
      </c>
      <c r="S29" s="58">
        <f t="shared" si="1"/>
        <v>50096</v>
      </c>
      <c r="T29" s="58"/>
      <c r="U29" s="58"/>
      <c r="V29" s="58">
        <f t="shared" si="2"/>
        <v>400222.60000000003</v>
      </c>
      <c r="W29" s="58"/>
      <c r="X29" s="58">
        <v>394566.60000000003</v>
      </c>
      <c r="Y29" s="58">
        <v>20160</v>
      </c>
      <c r="Z29" s="60">
        <v>0</v>
      </c>
      <c r="AA29" s="58">
        <v>2500</v>
      </c>
      <c r="AB29" s="58">
        <v>900</v>
      </c>
      <c r="AC29" s="58">
        <v>62500</v>
      </c>
      <c r="AD29" s="58">
        <v>0</v>
      </c>
      <c r="AE29" s="58">
        <v>0</v>
      </c>
      <c r="AF29" s="58">
        <v>86060</v>
      </c>
      <c r="AG29" s="58">
        <v>308506.60000000003</v>
      </c>
      <c r="AH29" s="58">
        <v>0</v>
      </c>
      <c r="AI29" s="58">
        <v>308506.60000000003</v>
      </c>
    </row>
    <row r="30" spans="1:35" x14ac:dyDescent="0.2">
      <c r="A30" s="1">
        <v>29</v>
      </c>
      <c r="B30" s="58" t="s">
        <v>211</v>
      </c>
      <c r="C30" s="58" t="s">
        <v>212</v>
      </c>
      <c r="D30" s="58" t="s">
        <v>213</v>
      </c>
      <c r="E30" s="59">
        <v>31083</v>
      </c>
      <c r="F30" s="58" t="str">
        <f t="shared" ca="1" si="3"/>
        <v>35 ans</v>
      </c>
      <c r="G30" s="58" t="s">
        <v>214</v>
      </c>
      <c r="H30" s="58" t="s">
        <v>26</v>
      </c>
      <c r="I30" s="57" t="s">
        <v>19</v>
      </c>
      <c r="J30" s="58" t="s">
        <v>27</v>
      </c>
      <c r="K30" s="58">
        <v>0</v>
      </c>
      <c r="L30" s="58">
        <v>2</v>
      </c>
      <c r="M30" s="58"/>
      <c r="N30" s="58"/>
      <c r="O30" s="58"/>
      <c r="P30" s="58"/>
      <c r="Q30" s="58" t="str">
        <f t="shared" si="0"/>
        <v>2711</v>
      </c>
      <c r="R30" s="58">
        <f t="shared" si="8"/>
        <v>469897.63000000006</v>
      </c>
      <c r="S30" s="58">
        <f t="shared" si="1"/>
        <v>0</v>
      </c>
      <c r="T30" s="58"/>
      <c r="U30" s="58">
        <v>10000</v>
      </c>
      <c r="V30" s="58">
        <f t="shared" si="2"/>
        <v>479897.63000000006</v>
      </c>
      <c r="W30" s="58">
        <v>17500</v>
      </c>
      <c r="X30" s="58">
        <v>497397.63000000006</v>
      </c>
      <c r="Y30" s="58">
        <v>20160</v>
      </c>
      <c r="Z30" s="60">
        <v>11517.543120000002</v>
      </c>
      <c r="AA30" s="58">
        <v>0</v>
      </c>
      <c r="AB30" s="58">
        <v>900</v>
      </c>
      <c r="AC30" s="58">
        <v>91666.666666666672</v>
      </c>
      <c r="AD30" s="58">
        <v>0</v>
      </c>
      <c r="AE30" s="58">
        <v>0</v>
      </c>
      <c r="AF30" s="58">
        <v>124244.20978666667</v>
      </c>
      <c r="AG30" s="58">
        <v>373153.42021333339</v>
      </c>
      <c r="AH30" s="58">
        <v>0</v>
      </c>
      <c r="AI30" s="58">
        <v>373153.42021333339</v>
      </c>
    </row>
    <row r="31" spans="1:35" x14ac:dyDescent="0.2">
      <c r="A31" s="1">
        <v>30</v>
      </c>
      <c r="B31" s="58" t="s">
        <v>215</v>
      </c>
      <c r="C31" s="58" t="s">
        <v>216</v>
      </c>
      <c r="D31" s="58" t="s">
        <v>217</v>
      </c>
      <c r="E31" s="60" t="s">
        <v>218</v>
      </c>
      <c r="F31" s="58" t="str">
        <f t="shared" ca="1" si="3"/>
        <v>41 ans</v>
      </c>
      <c r="G31" s="58" t="s">
        <v>219</v>
      </c>
      <c r="H31" s="58" t="s">
        <v>25</v>
      </c>
      <c r="I31" s="57" t="s">
        <v>19</v>
      </c>
      <c r="J31" s="58" t="s">
        <v>27</v>
      </c>
      <c r="K31" s="58">
        <v>3</v>
      </c>
      <c r="L31" s="58">
        <v>7</v>
      </c>
      <c r="M31" s="58"/>
      <c r="N31" s="58"/>
      <c r="O31" s="58"/>
      <c r="P31" s="58"/>
      <c r="Q31" s="58" t="str">
        <f t="shared" si="0"/>
        <v>2711</v>
      </c>
      <c r="R31" s="58">
        <f t="shared" si="8"/>
        <v>469897.63000000006</v>
      </c>
      <c r="S31" s="58">
        <f t="shared" si="1"/>
        <v>0</v>
      </c>
      <c r="T31" s="58"/>
      <c r="U31" s="58">
        <v>8000</v>
      </c>
      <c r="V31" s="58">
        <f t="shared" si="2"/>
        <v>477897.63000000006</v>
      </c>
      <c r="W31" s="58"/>
      <c r="X31" s="58">
        <v>477897.63000000006</v>
      </c>
      <c r="Y31" s="58">
        <v>20160</v>
      </c>
      <c r="Z31" s="60">
        <v>11469.543120000002</v>
      </c>
      <c r="AA31" s="58">
        <v>3000</v>
      </c>
      <c r="AB31" s="58">
        <v>3600</v>
      </c>
      <c r="AC31" s="58">
        <v>50000</v>
      </c>
      <c r="AD31" s="58">
        <v>12500</v>
      </c>
      <c r="AE31" s="58">
        <v>0</v>
      </c>
      <c r="AF31" s="58">
        <v>100729.54312</v>
      </c>
      <c r="AG31" s="58">
        <v>377168.08688000008</v>
      </c>
      <c r="AH31" s="58">
        <v>0</v>
      </c>
      <c r="AI31" s="58">
        <v>377168.08688000008</v>
      </c>
    </row>
    <row r="32" spans="1:35" x14ac:dyDescent="0.2">
      <c r="A32" s="1">
        <v>31</v>
      </c>
      <c r="B32" s="58" t="s">
        <v>220</v>
      </c>
      <c r="C32" s="58" t="s">
        <v>221</v>
      </c>
      <c r="D32" s="58" t="s">
        <v>222</v>
      </c>
      <c r="E32" s="60" t="s">
        <v>177</v>
      </c>
      <c r="F32" s="58" t="str">
        <f t="shared" ca="1" si="3"/>
        <v>42 ans</v>
      </c>
      <c r="G32" s="58" t="s">
        <v>223</v>
      </c>
      <c r="H32" s="58" t="s">
        <v>25</v>
      </c>
      <c r="I32" s="57" t="s">
        <v>19</v>
      </c>
      <c r="J32" s="58" t="s">
        <v>27</v>
      </c>
      <c r="K32" s="58">
        <v>1</v>
      </c>
      <c r="L32" s="58">
        <v>5</v>
      </c>
      <c r="M32" s="58"/>
      <c r="N32" s="58"/>
      <c r="O32" s="58"/>
      <c r="P32" s="58"/>
      <c r="Q32" s="58" t="str">
        <f t="shared" si="0"/>
        <v>2711</v>
      </c>
      <c r="R32" s="58">
        <f t="shared" si="8"/>
        <v>469897.63000000006</v>
      </c>
      <c r="S32" s="58">
        <f t="shared" si="1"/>
        <v>0</v>
      </c>
      <c r="T32" s="58"/>
      <c r="U32" s="58"/>
      <c r="V32" s="58">
        <f t="shared" si="2"/>
        <v>469897.63000000006</v>
      </c>
      <c r="W32" s="58">
        <v>10000</v>
      </c>
      <c r="X32" s="58">
        <v>479897.63000000006</v>
      </c>
      <c r="Y32" s="58">
        <v>20160</v>
      </c>
      <c r="Z32" s="60">
        <v>11277.543120000002</v>
      </c>
      <c r="AA32" s="58">
        <v>0</v>
      </c>
      <c r="AB32" s="58">
        <v>1800</v>
      </c>
      <c r="AC32" s="58">
        <v>66666.666666666672</v>
      </c>
      <c r="AD32" s="58">
        <v>0</v>
      </c>
      <c r="AE32" s="58">
        <v>0</v>
      </c>
      <c r="AF32" s="58">
        <v>99904.209786666674</v>
      </c>
      <c r="AG32" s="58">
        <v>379993.42021333339</v>
      </c>
      <c r="AH32" s="58">
        <v>20000</v>
      </c>
      <c r="AI32" s="58">
        <v>399993.42021333339</v>
      </c>
    </row>
    <row r="33" spans="1:35" x14ac:dyDescent="0.2">
      <c r="A33" s="1">
        <v>32</v>
      </c>
      <c r="B33" s="58" t="s">
        <v>224</v>
      </c>
      <c r="C33" s="58" t="s">
        <v>225</v>
      </c>
      <c r="D33" s="58" t="s">
        <v>226</v>
      </c>
      <c r="E33" s="59">
        <v>31110</v>
      </c>
      <c r="F33" s="58" t="str">
        <f t="shared" ca="1" si="3"/>
        <v>35 ans</v>
      </c>
      <c r="G33" s="58" t="s">
        <v>227</v>
      </c>
      <c r="H33" s="58" t="s">
        <v>25</v>
      </c>
      <c r="I33" s="57" t="s">
        <v>20</v>
      </c>
      <c r="J33" s="58" t="s">
        <v>27</v>
      </c>
      <c r="K33" s="58">
        <v>1</v>
      </c>
      <c r="L33" s="58">
        <v>3</v>
      </c>
      <c r="M33" s="58">
        <v>8</v>
      </c>
      <c r="N33" s="58"/>
      <c r="O33" s="58"/>
      <c r="P33" s="58">
        <v>3</v>
      </c>
      <c r="Q33" s="58" t="str">
        <f t="shared" si="0"/>
        <v>2020</v>
      </c>
      <c r="R33" s="58">
        <f t="shared" si="8"/>
        <v>350126.60000000003</v>
      </c>
      <c r="S33" s="58">
        <f t="shared" si="1"/>
        <v>36360</v>
      </c>
      <c r="T33" s="58"/>
      <c r="U33" s="58"/>
      <c r="V33" s="58">
        <f t="shared" si="2"/>
        <v>386486.60000000003</v>
      </c>
      <c r="W33" s="58"/>
      <c r="X33" s="58">
        <v>380842.60000000003</v>
      </c>
      <c r="Y33" s="58">
        <v>20160</v>
      </c>
      <c r="Z33" s="60">
        <v>0</v>
      </c>
      <c r="AA33" s="58">
        <v>3000</v>
      </c>
      <c r="AB33" s="58">
        <v>1800</v>
      </c>
      <c r="AC33" s="58">
        <v>29166.666666666668</v>
      </c>
      <c r="AD33" s="58">
        <v>0</v>
      </c>
      <c r="AE33" s="58">
        <v>0</v>
      </c>
      <c r="AF33" s="58">
        <v>54126.666666666672</v>
      </c>
      <c r="AG33" s="58">
        <v>326715.93333333335</v>
      </c>
      <c r="AH33" s="58">
        <v>0</v>
      </c>
      <c r="AI33" s="58">
        <v>326715.93333333335</v>
      </c>
    </row>
    <row r="34" spans="1:35" x14ac:dyDescent="0.2">
      <c r="A34" s="1">
        <v>33</v>
      </c>
      <c r="B34" s="58" t="s">
        <v>228</v>
      </c>
      <c r="C34" s="58" t="s">
        <v>229</v>
      </c>
      <c r="D34" s="58" t="s">
        <v>230</v>
      </c>
      <c r="E34" s="59">
        <v>28377</v>
      </c>
      <c r="F34" s="58" t="str">
        <f t="shared" ca="1" si="3"/>
        <v>42 ans</v>
      </c>
      <c r="G34" s="58" t="s">
        <v>231</v>
      </c>
      <c r="H34" s="58" t="s">
        <v>25</v>
      </c>
      <c r="I34" s="57" t="s">
        <v>20</v>
      </c>
      <c r="J34" s="58" t="s">
        <v>27</v>
      </c>
      <c r="K34" s="58">
        <v>1</v>
      </c>
      <c r="L34" s="58">
        <v>4</v>
      </c>
      <c r="M34" s="58"/>
      <c r="N34" s="58"/>
      <c r="O34" s="58"/>
      <c r="P34" s="58">
        <v>6</v>
      </c>
      <c r="Q34" s="58" t="str">
        <f t="shared" ref="Q34:Q51" si="9">IF(I34="A","2711",
IF(I34="B","2020",
IF(I34="C","1385",0)))</f>
        <v>2020</v>
      </c>
      <c r="R34" s="58">
        <f t="shared" si="8"/>
        <v>350126.60000000003</v>
      </c>
      <c r="S34" s="58">
        <f t="shared" ref="S34:S51" si="10">(M34*Q34*1.5)+(N34*Q34*1.4)+(O34*Q34*1.6)+(P34*Q34*2)</f>
        <v>24240</v>
      </c>
      <c r="T34" s="58"/>
      <c r="U34" s="58"/>
      <c r="V34" s="58">
        <f t="shared" ref="V34:V51" si="11">SUM(R34:U34)</f>
        <v>374366.60000000003</v>
      </c>
      <c r="W34" s="58"/>
      <c r="X34" s="58">
        <v>374366.60000000003</v>
      </c>
      <c r="Y34" s="58">
        <v>20160</v>
      </c>
      <c r="Z34" s="60">
        <v>0</v>
      </c>
      <c r="AA34" s="58">
        <v>3000</v>
      </c>
      <c r="AB34" s="58">
        <v>1800</v>
      </c>
      <c r="AC34" s="58">
        <v>20833.333333333332</v>
      </c>
      <c r="AD34" s="58">
        <v>0</v>
      </c>
      <c r="AE34" s="58">
        <v>0</v>
      </c>
      <c r="AF34" s="58">
        <v>45793.333333333328</v>
      </c>
      <c r="AG34" s="58">
        <v>328573.26666666672</v>
      </c>
      <c r="AH34" s="58">
        <v>0</v>
      </c>
      <c r="AI34" s="58">
        <v>328573.26666666672</v>
      </c>
    </row>
    <row r="35" spans="1:35" x14ac:dyDescent="0.2">
      <c r="A35" s="1">
        <v>34</v>
      </c>
      <c r="B35" s="58" t="s">
        <v>232</v>
      </c>
      <c r="C35" s="58" t="s">
        <v>233</v>
      </c>
      <c r="D35" s="58" t="s">
        <v>234</v>
      </c>
      <c r="E35" s="59">
        <v>27672</v>
      </c>
      <c r="F35" s="58" t="str">
        <f t="shared" ca="1" si="3"/>
        <v>44 ans</v>
      </c>
      <c r="G35" s="58" t="s">
        <v>235</v>
      </c>
      <c r="H35" s="58" t="s">
        <v>26</v>
      </c>
      <c r="I35" s="57" t="s">
        <v>20</v>
      </c>
      <c r="J35" s="58" t="s">
        <v>27</v>
      </c>
      <c r="K35" s="58">
        <v>0</v>
      </c>
      <c r="L35" s="58">
        <v>2</v>
      </c>
      <c r="M35" s="58">
        <v>8</v>
      </c>
      <c r="N35" s="58"/>
      <c r="O35" s="58"/>
      <c r="P35" s="58"/>
      <c r="Q35" s="58" t="str">
        <f t="shared" si="9"/>
        <v>2020</v>
      </c>
      <c r="R35" s="58">
        <f t="shared" si="8"/>
        <v>350126.60000000003</v>
      </c>
      <c r="S35" s="58">
        <f t="shared" si="10"/>
        <v>24240</v>
      </c>
      <c r="T35" s="58"/>
      <c r="U35" s="58"/>
      <c r="V35" s="58">
        <f t="shared" si="11"/>
        <v>374366.60000000003</v>
      </c>
      <c r="W35" s="58">
        <v>14500</v>
      </c>
      <c r="X35" s="58">
        <v>383210.60000000003</v>
      </c>
      <c r="Y35" s="58">
        <v>20160</v>
      </c>
      <c r="Z35" s="60">
        <v>0</v>
      </c>
      <c r="AA35" s="58">
        <v>0</v>
      </c>
      <c r="AB35" s="58">
        <v>900</v>
      </c>
      <c r="AC35" s="58">
        <v>37500</v>
      </c>
      <c r="AD35" s="58">
        <v>10000</v>
      </c>
      <c r="AE35" s="58">
        <v>0</v>
      </c>
      <c r="AF35" s="58">
        <v>68560</v>
      </c>
      <c r="AG35" s="58">
        <v>314650.60000000003</v>
      </c>
      <c r="AH35" s="58">
        <v>25000</v>
      </c>
      <c r="AI35" s="58">
        <v>339650.60000000003</v>
      </c>
    </row>
    <row r="36" spans="1:35" x14ac:dyDescent="0.2">
      <c r="A36" s="1">
        <v>35</v>
      </c>
      <c r="B36" s="58" t="s">
        <v>236</v>
      </c>
      <c r="C36" s="58" t="s">
        <v>237</v>
      </c>
      <c r="D36" s="58" t="s">
        <v>238</v>
      </c>
      <c r="E36" s="60" t="s">
        <v>239</v>
      </c>
      <c r="F36" s="58" t="str">
        <f t="shared" ca="1" si="3"/>
        <v>37 ans</v>
      </c>
      <c r="G36" s="58" t="s">
        <v>240</v>
      </c>
      <c r="H36" s="58" t="s">
        <v>25</v>
      </c>
      <c r="I36" s="57" t="s">
        <v>20</v>
      </c>
      <c r="J36" s="58" t="s">
        <v>27</v>
      </c>
      <c r="K36" s="58">
        <v>2</v>
      </c>
      <c r="L36" s="58">
        <v>4</v>
      </c>
      <c r="M36" s="58"/>
      <c r="N36" s="58"/>
      <c r="O36" s="58"/>
      <c r="P36" s="58">
        <v>2</v>
      </c>
      <c r="Q36" s="58" t="str">
        <f t="shared" si="9"/>
        <v>2020</v>
      </c>
      <c r="R36" s="58">
        <f t="shared" si="8"/>
        <v>350126.60000000003</v>
      </c>
      <c r="S36" s="58">
        <f t="shared" si="10"/>
        <v>8080</v>
      </c>
      <c r="T36" s="58"/>
      <c r="U36" s="58"/>
      <c r="V36" s="58">
        <f t="shared" si="11"/>
        <v>358206.60000000003</v>
      </c>
      <c r="W36" s="58"/>
      <c r="X36" s="58">
        <v>358206.60000000003</v>
      </c>
      <c r="Y36" s="58">
        <v>20059.569600000003</v>
      </c>
      <c r="Z36" s="60">
        <v>0</v>
      </c>
      <c r="AA36" s="58">
        <v>0</v>
      </c>
      <c r="AB36" s="58">
        <v>2700</v>
      </c>
      <c r="AC36" s="58">
        <v>20833.333333333332</v>
      </c>
      <c r="AD36" s="58">
        <v>0</v>
      </c>
      <c r="AE36" s="58">
        <v>0</v>
      </c>
      <c r="AF36" s="58">
        <v>43592.902933333331</v>
      </c>
      <c r="AG36" s="58">
        <v>314613.69706666667</v>
      </c>
      <c r="AH36" s="58">
        <v>0</v>
      </c>
      <c r="AI36" s="58">
        <v>314613.69706666667</v>
      </c>
    </row>
    <row r="37" spans="1:35" x14ac:dyDescent="0.2">
      <c r="A37" s="1">
        <v>36</v>
      </c>
      <c r="B37" s="58" t="s">
        <v>241</v>
      </c>
      <c r="C37" s="58" t="s">
        <v>242</v>
      </c>
      <c r="D37" s="58" t="s">
        <v>243</v>
      </c>
      <c r="E37" s="60" t="s">
        <v>244</v>
      </c>
      <c r="F37" s="58" t="str">
        <f t="shared" ca="1" si="3"/>
        <v>43 ans</v>
      </c>
      <c r="G37" s="58" t="s">
        <v>245</v>
      </c>
      <c r="H37" s="58" t="s">
        <v>25</v>
      </c>
      <c r="I37" s="57" t="s">
        <v>20</v>
      </c>
      <c r="J37" s="58" t="s">
        <v>27</v>
      </c>
      <c r="K37" s="58">
        <v>1</v>
      </c>
      <c r="L37" s="58">
        <v>6</v>
      </c>
      <c r="M37" s="58"/>
      <c r="N37" s="58"/>
      <c r="O37" s="58"/>
      <c r="P37" s="58">
        <v>4</v>
      </c>
      <c r="Q37" s="58" t="str">
        <f t="shared" si="9"/>
        <v>2020</v>
      </c>
      <c r="R37" s="58">
        <f t="shared" si="8"/>
        <v>350126.60000000003</v>
      </c>
      <c r="S37" s="58">
        <f t="shared" si="10"/>
        <v>16160</v>
      </c>
      <c r="T37" s="58"/>
      <c r="U37" s="58"/>
      <c r="V37" s="58">
        <f t="shared" si="11"/>
        <v>366286.60000000003</v>
      </c>
      <c r="W37" s="58"/>
      <c r="X37" s="58">
        <v>366286.60000000003</v>
      </c>
      <c r="Y37" s="58">
        <v>20160</v>
      </c>
      <c r="Z37" s="60">
        <v>0</v>
      </c>
      <c r="AA37" s="58">
        <v>13000</v>
      </c>
      <c r="AB37" s="58">
        <v>1800</v>
      </c>
      <c r="AC37" s="58">
        <v>4166.666666666667</v>
      </c>
      <c r="AD37" s="58">
        <v>0</v>
      </c>
      <c r="AE37" s="58">
        <v>0</v>
      </c>
      <c r="AF37" s="58">
        <v>39126.666666666664</v>
      </c>
      <c r="AG37" s="58">
        <v>327159.93333333335</v>
      </c>
      <c r="AH37" s="58">
        <v>0</v>
      </c>
      <c r="AI37" s="58">
        <v>327159.93333333335</v>
      </c>
    </row>
    <row r="38" spans="1:35" x14ac:dyDescent="0.2">
      <c r="A38" s="1">
        <v>37</v>
      </c>
      <c r="B38" s="58" t="s">
        <v>246</v>
      </c>
      <c r="C38" s="58" t="s">
        <v>226</v>
      </c>
      <c r="D38" s="58" t="s">
        <v>247</v>
      </c>
      <c r="E38" s="59">
        <v>28501</v>
      </c>
      <c r="F38" s="58" t="str">
        <f t="shared" ca="1" si="3"/>
        <v>42 ans</v>
      </c>
      <c r="G38" s="58" t="s">
        <v>137</v>
      </c>
      <c r="H38" s="58" t="s">
        <v>25</v>
      </c>
      <c r="I38" s="57" t="s">
        <v>21</v>
      </c>
      <c r="J38" s="58" t="s">
        <v>28</v>
      </c>
      <c r="K38" s="58">
        <v>0</v>
      </c>
      <c r="L38" s="58">
        <v>0</v>
      </c>
      <c r="M38" s="58"/>
      <c r="N38" s="58"/>
      <c r="O38" s="58"/>
      <c r="P38" s="58"/>
      <c r="Q38" s="58" t="str">
        <f t="shared" si="9"/>
        <v>1385</v>
      </c>
      <c r="R38" s="58">
        <f t="shared" si="8"/>
        <v>240062.05000000002</v>
      </c>
      <c r="S38" s="58">
        <f t="shared" si="10"/>
        <v>0</v>
      </c>
      <c r="T38" s="58">
        <v>10000</v>
      </c>
      <c r="U38" s="58"/>
      <c r="V38" s="58">
        <f t="shared" si="11"/>
        <v>250062.05000000002</v>
      </c>
      <c r="W38" s="58"/>
      <c r="X38" s="58">
        <v>250062.05000000002</v>
      </c>
      <c r="Y38" s="58">
        <v>14003.474800000002</v>
      </c>
      <c r="Z38" s="60">
        <v>0</v>
      </c>
      <c r="AA38" s="58">
        <v>3000</v>
      </c>
      <c r="AB38" s="58">
        <v>900</v>
      </c>
      <c r="AC38" s="58">
        <v>62500</v>
      </c>
      <c r="AD38" s="58">
        <v>0</v>
      </c>
      <c r="AE38" s="58">
        <v>0</v>
      </c>
      <c r="AF38" s="58">
        <v>80403.474799999996</v>
      </c>
      <c r="AG38" s="58">
        <v>169658.57520000002</v>
      </c>
      <c r="AH38" s="58">
        <v>0</v>
      </c>
      <c r="AI38" s="58">
        <v>169658.57520000002</v>
      </c>
    </row>
    <row r="39" spans="1:35" x14ac:dyDescent="0.2">
      <c r="A39" s="1">
        <v>38</v>
      </c>
      <c r="B39" s="58" t="s">
        <v>248</v>
      </c>
      <c r="C39" s="58" t="s">
        <v>249</v>
      </c>
      <c r="D39" s="58" t="s">
        <v>247</v>
      </c>
      <c r="E39" s="60" t="s">
        <v>250</v>
      </c>
      <c r="F39" s="58" t="str">
        <f t="shared" ca="1" si="3"/>
        <v>44 ans</v>
      </c>
      <c r="G39" s="58" t="s">
        <v>142</v>
      </c>
      <c r="H39" s="58" t="s">
        <v>25</v>
      </c>
      <c r="I39" s="57" t="s">
        <v>19</v>
      </c>
      <c r="J39" s="58" t="s">
        <v>28</v>
      </c>
      <c r="K39" s="58">
        <v>0</v>
      </c>
      <c r="L39" s="58">
        <v>0</v>
      </c>
      <c r="M39" s="58"/>
      <c r="N39" s="58"/>
      <c r="O39" s="58"/>
      <c r="P39" s="58"/>
      <c r="Q39" s="58" t="str">
        <f t="shared" si="9"/>
        <v>2711</v>
      </c>
      <c r="R39" s="58">
        <f t="shared" si="8"/>
        <v>469897.63000000006</v>
      </c>
      <c r="S39" s="58">
        <f t="shared" si="10"/>
        <v>0</v>
      </c>
      <c r="T39" s="58"/>
      <c r="U39" s="58">
        <v>10000</v>
      </c>
      <c r="V39" s="58">
        <f t="shared" si="11"/>
        <v>479897.63000000006</v>
      </c>
      <c r="W39" s="58">
        <v>15000</v>
      </c>
      <c r="X39" s="58">
        <v>494897.63000000006</v>
      </c>
      <c r="Y39" s="58">
        <v>20160</v>
      </c>
      <c r="Z39" s="60">
        <v>11517.543120000002</v>
      </c>
      <c r="AA39" s="58">
        <v>0</v>
      </c>
      <c r="AB39" s="58">
        <v>900</v>
      </c>
      <c r="AC39" s="58">
        <v>116666.66666666667</v>
      </c>
      <c r="AD39" s="58">
        <v>10000</v>
      </c>
      <c r="AE39" s="58">
        <v>0</v>
      </c>
      <c r="AF39" s="58">
        <v>159244.20978666667</v>
      </c>
      <c r="AG39" s="58">
        <v>335653.42021333339</v>
      </c>
      <c r="AH39" s="58">
        <v>0</v>
      </c>
      <c r="AI39" s="58">
        <v>335653.42021333339</v>
      </c>
    </row>
    <row r="40" spans="1:35" x14ac:dyDescent="0.2">
      <c r="A40" s="1">
        <v>39</v>
      </c>
      <c r="B40" s="58" t="s">
        <v>251</v>
      </c>
      <c r="C40" s="58" t="s">
        <v>252</v>
      </c>
      <c r="D40" s="58" t="s">
        <v>253</v>
      </c>
      <c r="E40" s="60" t="s">
        <v>254</v>
      </c>
      <c r="F40" s="58" t="str">
        <f t="shared" ca="1" si="3"/>
        <v>43 ans</v>
      </c>
      <c r="G40" s="58" t="s">
        <v>117</v>
      </c>
      <c r="H40" s="58" t="s">
        <v>26</v>
      </c>
      <c r="I40" s="57" t="s">
        <v>21</v>
      </c>
      <c r="J40" s="58" t="s">
        <v>28</v>
      </c>
      <c r="K40" s="58">
        <v>0</v>
      </c>
      <c r="L40" s="58">
        <v>0</v>
      </c>
      <c r="M40" s="58"/>
      <c r="N40" s="58"/>
      <c r="O40" s="58"/>
      <c r="P40" s="58"/>
      <c r="Q40" s="58" t="str">
        <f t="shared" si="9"/>
        <v>1385</v>
      </c>
      <c r="R40" s="58">
        <f t="shared" si="8"/>
        <v>240062.05000000002</v>
      </c>
      <c r="S40" s="58">
        <f t="shared" si="10"/>
        <v>0</v>
      </c>
      <c r="T40" s="58"/>
      <c r="U40" s="58"/>
      <c r="V40" s="58">
        <f t="shared" si="11"/>
        <v>240062.05000000002</v>
      </c>
      <c r="W40" s="58"/>
      <c r="X40" s="58">
        <v>240062.05000000002</v>
      </c>
      <c r="Y40" s="58">
        <v>13443.474800000002</v>
      </c>
      <c r="Z40" s="60">
        <v>0</v>
      </c>
      <c r="AA40" s="58">
        <v>0</v>
      </c>
      <c r="AB40" s="58">
        <v>900</v>
      </c>
      <c r="AC40" s="58">
        <v>62500</v>
      </c>
      <c r="AD40" s="58">
        <v>0</v>
      </c>
      <c r="AE40" s="58">
        <v>0</v>
      </c>
      <c r="AF40" s="58">
        <v>76843.474799999996</v>
      </c>
      <c r="AG40" s="58">
        <v>163218.57520000002</v>
      </c>
      <c r="AH40" s="58">
        <v>0</v>
      </c>
      <c r="AI40" s="58">
        <v>163218.57520000002</v>
      </c>
    </row>
    <row r="41" spans="1:35" x14ac:dyDescent="0.2">
      <c r="A41" s="1">
        <v>40</v>
      </c>
      <c r="B41" s="58" t="s">
        <v>255</v>
      </c>
      <c r="C41" s="58" t="s">
        <v>256</v>
      </c>
      <c r="D41" s="58" t="s">
        <v>253</v>
      </c>
      <c r="E41" s="60" t="s">
        <v>257</v>
      </c>
      <c r="F41" s="58" t="str">
        <f t="shared" ca="1" si="3"/>
        <v>39 ans</v>
      </c>
      <c r="G41" s="58" t="s">
        <v>108</v>
      </c>
      <c r="H41" s="58" t="s">
        <v>26</v>
      </c>
      <c r="I41" s="57" t="s">
        <v>21</v>
      </c>
      <c r="J41" s="58" t="s">
        <v>28</v>
      </c>
      <c r="K41" s="58">
        <v>0</v>
      </c>
      <c r="L41" s="58">
        <v>0</v>
      </c>
      <c r="M41" s="58">
        <v>8</v>
      </c>
      <c r="N41" s="58">
        <v>5</v>
      </c>
      <c r="O41" s="58"/>
      <c r="P41" s="58"/>
      <c r="Q41" s="58" t="str">
        <f t="shared" si="9"/>
        <v>1385</v>
      </c>
      <c r="R41" s="58">
        <f t="shared" si="8"/>
        <v>240062.05000000002</v>
      </c>
      <c r="S41" s="58">
        <f t="shared" si="10"/>
        <v>26315</v>
      </c>
      <c r="T41" s="58"/>
      <c r="U41" s="58"/>
      <c r="V41" s="58">
        <f t="shared" si="11"/>
        <v>266377.05000000005</v>
      </c>
      <c r="W41" s="58"/>
      <c r="X41" s="58">
        <v>262499.05</v>
      </c>
      <c r="Y41" s="58">
        <v>14699.9468</v>
      </c>
      <c r="Z41" s="60">
        <v>0</v>
      </c>
      <c r="AA41" s="58">
        <v>5000</v>
      </c>
      <c r="AB41" s="58">
        <v>900</v>
      </c>
      <c r="AC41" s="58">
        <v>62500</v>
      </c>
      <c r="AD41" s="58">
        <v>0</v>
      </c>
      <c r="AE41" s="58">
        <v>0</v>
      </c>
      <c r="AF41" s="58">
        <v>83099.946800000005</v>
      </c>
      <c r="AG41" s="58">
        <v>179399.10319999998</v>
      </c>
      <c r="AH41" s="58">
        <v>0</v>
      </c>
      <c r="AI41" s="58">
        <v>179399.10319999998</v>
      </c>
    </row>
    <row r="42" spans="1:35" x14ac:dyDescent="0.2">
      <c r="A42" s="1">
        <v>41</v>
      </c>
      <c r="B42" s="58" t="s">
        <v>258</v>
      </c>
      <c r="C42" s="58" t="s">
        <v>259</v>
      </c>
      <c r="D42" s="58" t="s">
        <v>260</v>
      </c>
      <c r="E42" s="60" t="s">
        <v>261</v>
      </c>
      <c r="F42" s="58" t="str">
        <f t="shared" ca="1" si="3"/>
        <v>42 ans</v>
      </c>
      <c r="G42" s="58" t="s">
        <v>93</v>
      </c>
      <c r="H42" s="58" t="s">
        <v>25</v>
      </c>
      <c r="I42" s="57" t="s">
        <v>19</v>
      </c>
      <c r="J42" s="58" t="s">
        <v>28</v>
      </c>
      <c r="K42" s="58">
        <v>0</v>
      </c>
      <c r="L42" s="58">
        <v>1</v>
      </c>
      <c r="M42" s="58"/>
      <c r="N42" s="58"/>
      <c r="O42" s="58"/>
      <c r="P42" s="58"/>
      <c r="Q42" s="58" t="str">
        <f t="shared" si="9"/>
        <v>2711</v>
      </c>
      <c r="R42" s="58">
        <f t="shared" si="8"/>
        <v>469897.63000000006</v>
      </c>
      <c r="S42" s="58">
        <f t="shared" si="10"/>
        <v>0</v>
      </c>
      <c r="T42" s="58"/>
      <c r="U42" s="58"/>
      <c r="V42" s="58">
        <f t="shared" si="11"/>
        <v>469897.63000000006</v>
      </c>
      <c r="W42" s="58">
        <v>55000</v>
      </c>
      <c r="X42" s="58">
        <v>524897.63000000012</v>
      </c>
      <c r="Y42" s="58">
        <v>20160</v>
      </c>
      <c r="Z42" s="60">
        <v>11277.543120000002</v>
      </c>
      <c r="AA42" s="58">
        <v>2500</v>
      </c>
      <c r="AB42" s="58">
        <v>900</v>
      </c>
      <c r="AC42" s="58">
        <v>105000</v>
      </c>
      <c r="AD42" s="58">
        <v>0</v>
      </c>
      <c r="AE42" s="58">
        <v>30000</v>
      </c>
      <c r="AF42" s="58">
        <v>169837.54311999999</v>
      </c>
      <c r="AG42" s="58">
        <v>355060.08688000013</v>
      </c>
      <c r="AH42" s="58">
        <v>0</v>
      </c>
      <c r="AI42" s="58">
        <v>355060.08688000013</v>
      </c>
    </row>
    <row r="43" spans="1:35" x14ac:dyDescent="0.2">
      <c r="A43" s="1">
        <v>42</v>
      </c>
      <c r="B43" s="58" t="s">
        <v>262</v>
      </c>
      <c r="C43" s="58" t="s">
        <v>263</v>
      </c>
      <c r="D43" s="58" t="s">
        <v>264</v>
      </c>
      <c r="E43" s="60" t="s">
        <v>265</v>
      </c>
      <c r="F43" s="58" t="str">
        <f t="shared" ca="1" si="3"/>
        <v>43 ans</v>
      </c>
      <c r="G43" s="58" t="s">
        <v>266</v>
      </c>
      <c r="H43" s="58" t="s">
        <v>25</v>
      </c>
      <c r="I43" s="57" t="s">
        <v>21</v>
      </c>
      <c r="J43" s="58" t="s">
        <v>27</v>
      </c>
      <c r="K43" s="58">
        <v>2</v>
      </c>
      <c r="L43" s="58">
        <v>5</v>
      </c>
      <c r="M43" s="58"/>
      <c r="N43" s="58"/>
      <c r="O43" s="58"/>
      <c r="P43" s="58"/>
      <c r="Q43" s="58" t="str">
        <f t="shared" si="9"/>
        <v>1385</v>
      </c>
      <c r="R43" s="58">
        <f t="shared" si="8"/>
        <v>240062.05000000002</v>
      </c>
      <c r="S43" s="58">
        <f t="shared" si="10"/>
        <v>0</v>
      </c>
      <c r="T43" s="58"/>
      <c r="U43" s="58"/>
      <c r="V43" s="58">
        <f t="shared" si="11"/>
        <v>240062.05000000002</v>
      </c>
      <c r="W43" s="58"/>
      <c r="X43" s="58">
        <v>240062.05000000002</v>
      </c>
      <c r="Y43" s="58">
        <v>13443.474800000002</v>
      </c>
      <c r="Z43" s="60">
        <v>0</v>
      </c>
      <c r="AA43" s="58">
        <v>0</v>
      </c>
      <c r="AB43" s="58">
        <v>2700</v>
      </c>
      <c r="AC43" s="58">
        <v>12500</v>
      </c>
      <c r="AD43" s="58">
        <v>10000</v>
      </c>
      <c r="AE43" s="58">
        <v>0</v>
      </c>
      <c r="AF43" s="58">
        <v>38643.474800000004</v>
      </c>
      <c r="AG43" s="58">
        <v>201418.57520000002</v>
      </c>
      <c r="AH43" s="58">
        <v>0</v>
      </c>
      <c r="AI43" s="58">
        <v>201418.57520000002</v>
      </c>
    </row>
    <row r="44" spans="1:35" x14ac:dyDescent="0.2">
      <c r="A44" s="1">
        <v>43</v>
      </c>
      <c r="B44" s="58" t="s">
        <v>267</v>
      </c>
      <c r="C44" s="58" t="s">
        <v>268</v>
      </c>
      <c r="D44" s="58" t="s">
        <v>269</v>
      </c>
      <c r="E44" s="60" t="s">
        <v>270</v>
      </c>
      <c r="F44" s="58" t="str">
        <f t="shared" ca="1" si="3"/>
        <v>41 ans</v>
      </c>
      <c r="G44" s="58" t="s">
        <v>271</v>
      </c>
      <c r="H44" s="58" t="s">
        <v>25</v>
      </c>
      <c r="I44" s="57" t="s">
        <v>21</v>
      </c>
      <c r="J44" s="58" t="s">
        <v>27</v>
      </c>
      <c r="K44" s="58">
        <v>1</v>
      </c>
      <c r="L44" s="58">
        <v>1</v>
      </c>
      <c r="M44" s="58">
        <v>8</v>
      </c>
      <c r="N44" s="58">
        <v>5</v>
      </c>
      <c r="O44" s="58"/>
      <c r="P44" s="58">
        <v>3</v>
      </c>
      <c r="Q44" s="58" t="str">
        <f t="shared" si="9"/>
        <v>1385</v>
      </c>
      <c r="R44" s="58">
        <f t="shared" si="8"/>
        <v>240062.05000000002</v>
      </c>
      <c r="S44" s="58">
        <f t="shared" si="10"/>
        <v>34625</v>
      </c>
      <c r="T44" s="58"/>
      <c r="U44" s="58"/>
      <c r="V44" s="58">
        <f t="shared" si="11"/>
        <v>274687.05000000005</v>
      </c>
      <c r="W44" s="58"/>
      <c r="X44" s="58">
        <v>270809.05</v>
      </c>
      <c r="Y44" s="58">
        <v>15165.3068</v>
      </c>
      <c r="Z44" s="60">
        <v>0</v>
      </c>
      <c r="AA44" s="58">
        <v>0</v>
      </c>
      <c r="AB44" s="58">
        <v>1800</v>
      </c>
      <c r="AC44" s="58">
        <v>45833.333333333336</v>
      </c>
      <c r="AD44" s="58">
        <v>0</v>
      </c>
      <c r="AE44" s="58">
        <v>0</v>
      </c>
      <c r="AF44" s="58">
        <v>62798.640133333334</v>
      </c>
      <c r="AG44" s="58">
        <v>208010.40986666665</v>
      </c>
      <c r="AH44" s="58">
        <v>20000</v>
      </c>
      <c r="AI44" s="58">
        <v>228010.40986666665</v>
      </c>
    </row>
    <row r="45" spans="1:35" x14ac:dyDescent="0.2">
      <c r="A45" s="1">
        <v>44</v>
      </c>
      <c r="B45" s="58" t="s">
        <v>272</v>
      </c>
      <c r="C45" s="58" t="s">
        <v>273</v>
      </c>
      <c r="D45" s="58" t="s">
        <v>274</v>
      </c>
      <c r="E45" s="59">
        <v>27974</v>
      </c>
      <c r="F45" s="58" t="str">
        <f t="shared" ca="1" si="3"/>
        <v>43 ans</v>
      </c>
      <c r="G45" s="58" t="s">
        <v>227</v>
      </c>
      <c r="H45" s="58" t="s">
        <v>25</v>
      </c>
      <c r="I45" s="57" t="s">
        <v>20</v>
      </c>
      <c r="J45" s="58" t="s">
        <v>27</v>
      </c>
      <c r="K45" s="58">
        <v>1</v>
      </c>
      <c r="L45" s="58">
        <v>1</v>
      </c>
      <c r="M45" s="58"/>
      <c r="N45" s="58"/>
      <c r="O45" s="58"/>
      <c r="P45" s="58">
        <v>2</v>
      </c>
      <c r="Q45" s="58" t="str">
        <f t="shared" si="9"/>
        <v>2020</v>
      </c>
      <c r="R45" s="58">
        <f t="shared" si="8"/>
        <v>350126.60000000003</v>
      </c>
      <c r="S45" s="58">
        <f t="shared" si="10"/>
        <v>8080</v>
      </c>
      <c r="T45" s="58"/>
      <c r="U45" s="58">
        <v>8500</v>
      </c>
      <c r="V45" s="58">
        <f t="shared" si="11"/>
        <v>366706.60000000003</v>
      </c>
      <c r="W45" s="58"/>
      <c r="X45" s="58">
        <v>366706.60000000003</v>
      </c>
      <c r="Y45" s="58">
        <v>20160</v>
      </c>
      <c r="Z45" s="60">
        <v>0</v>
      </c>
      <c r="AA45" s="58">
        <v>2500</v>
      </c>
      <c r="AB45" s="58">
        <v>1800</v>
      </c>
      <c r="AC45" s="58">
        <v>45833.333333333336</v>
      </c>
      <c r="AD45" s="58">
        <v>0</v>
      </c>
      <c r="AE45" s="58">
        <v>0</v>
      </c>
      <c r="AF45" s="58">
        <v>70293.333333333343</v>
      </c>
      <c r="AG45" s="58">
        <v>296413.26666666672</v>
      </c>
      <c r="AH45" s="58">
        <v>0</v>
      </c>
      <c r="AI45" s="58">
        <v>296413.26666666672</v>
      </c>
    </row>
    <row r="46" spans="1:35" x14ac:dyDescent="0.2">
      <c r="A46" s="1">
        <v>45</v>
      </c>
      <c r="B46" s="58" t="s">
        <v>275</v>
      </c>
      <c r="C46" s="58" t="s">
        <v>276</v>
      </c>
      <c r="D46" s="58" t="s">
        <v>277</v>
      </c>
      <c r="E46" s="60" t="s">
        <v>278</v>
      </c>
      <c r="F46" s="58" t="str">
        <f t="shared" ca="1" si="3"/>
        <v>36 ans</v>
      </c>
      <c r="G46" s="58" t="s">
        <v>279</v>
      </c>
      <c r="H46" s="58" t="s">
        <v>26</v>
      </c>
      <c r="I46" s="57" t="s">
        <v>20</v>
      </c>
      <c r="J46" s="58" t="s">
        <v>27</v>
      </c>
      <c r="K46" s="58">
        <v>0</v>
      </c>
      <c r="L46" s="58">
        <v>2</v>
      </c>
      <c r="M46" s="58"/>
      <c r="N46" s="58"/>
      <c r="O46" s="58"/>
      <c r="P46" s="58"/>
      <c r="Q46" s="58" t="str">
        <f t="shared" si="9"/>
        <v>2020</v>
      </c>
      <c r="R46" s="58">
        <f t="shared" si="8"/>
        <v>350126.60000000003</v>
      </c>
      <c r="S46" s="58">
        <f t="shared" si="10"/>
        <v>0</v>
      </c>
      <c r="T46" s="58">
        <v>15000</v>
      </c>
      <c r="U46" s="58"/>
      <c r="V46" s="58">
        <f t="shared" si="11"/>
        <v>365126.60000000003</v>
      </c>
      <c r="W46" s="58">
        <v>31500</v>
      </c>
      <c r="X46" s="58">
        <v>396626.60000000003</v>
      </c>
      <c r="Y46" s="58">
        <v>20160</v>
      </c>
      <c r="Z46" s="60">
        <v>0</v>
      </c>
      <c r="AA46" s="58">
        <v>0</v>
      </c>
      <c r="AB46" s="58">
        <v>900</v>
      </c>
      <c r="AC46" s="58">
        <v>37500</v>
      </c>
      <c r="AD46" s="58">
        <v>0</v>
      </c>
      <c r="AE46" s="58">
        <v>0</v>
      </c>
      <c r="AF46" s="58">
        <v>58560</v>
      </c>
      <c r="AG46" s="58">
        <v>338066.60000000003</v>
      </c>
      <c r="AH46" s="58">
        <v>0</v>
      </c>
      <c r="AI46" s="58">
        <v>338066.60000000003</v>
      </c>
    </row>
    <row r="47" spans="1:35" x14ac:dyDescent="0.2">
      <c r="A47" s="1">
        <v>46</v>
      </c>
      <c r="B47" s="58" t="s">
        <v>280</v>
      </c>
      <c r="C47" s="58" t="s">
        <v>281</v>
      </c>
      <c r="D47" s="58" t="s">
        <v>282</v>
      </c>
      <c r="E47" s="60" t="s">
        <v>283</v>
      </c>
      <c r="F47" s="58" t="str">
        <f t="shared" ca="1" si="3"/>
        <v>35 ans</v>
      </c>
      <c r="G47" s="58" t="s">
        <v>160</v>
      </c>
      <c r="H47" s="58" t="s">
        <v>25</v>
      </c>
      <c r="I47" s="57" t="s">
        <v>20</v>
      </c>
      <c r="J47" s="58" t="s">
        <v>27</v>
      </c>
      <c r="K47" s="58">
        <v>1</v>
      </c>
      <c r="L47" s="58">
        <v>1</v>
      </c>
      <c r="M47" s="58">
        <v>8</v>
      </c>
      <c r="N47" s="58">
        <v>5</v>
      </c>
      <c r="O47" s="58"/>
      <c r="P47" s="58">
        <v>4</v>
      </c>
      <c r="Q47" s="58" t="str">
        <f t="shared" si="9"/>
        <v>2020</v>
      </c>
      <c r="R47" s="58">
        <f t="shared" si="8"/>
        <v>350126.60000000003</v>
      </c>
      <c r="S47" s="58">
        <f t="shared" si="10"/>
        <v>54540</v>
      </c>
      <c r="T47" s="58"/>
      <c r="U47" s="58"/>
      <c r="V47" s="58">
        <f t="shared" si="11"/>
        <v>404666.60000000003</v>
      </c>
      <c r="W47" s="58"/>
      <c r="X47" s="58">
        <v>399010.60000000003</v>
      </c>
      <c r="Y47" s="58">
        <v>20160</v>
      </c>
      <c r="Z47" s="60">
        <v>0</v>
      </c>
      <c r="AA47" s="58">
        <v>0</v>
      </c>
      <c r="AB47" s="58">
        <v>1800</v>
      </c>
      <c r="AC47" s="58">
        <v>45833.333333333336</v>
      </c>
      <c r="AD47" s="58">
        <v>15000</v>
      </c>
      <c r="AE47" s="58">
        <v>0</v>
      </c>
      <c r="AF47" s="58">
        <v>82793.333333333343</v>
      </c>
      <c r="AG47" s="58">
        <v>316217.26666666672</v>
      </c>
      <c r="AH47" s="58">
        <v>0</v>
      </c>
      <c r="AI47" s="58">
        <v>316217.26666666672</v>
      </c>
    </row>
    <row r="48" spans="1:35" x14ac:dyDescent="0.2">
      <c r="A48" s="1">
        <v>47</v>
      </c>
      <c r="B48" s="58" t="s">
        <v>284</v>
      </c>
      <c r="C48" s="58" t="s">
        <v>285</v>
      </c>
      <c r="D48" s="58" t="s">
        <v>286</v>
      </c>
      <c r="E48" s="60" t="s">
        <v>287</v>
      </c>
      <c r="F48" s="58" t="str">
        <f t="shared" ca="1" si="3"/>
        <v>43 ans</v>
      </c>
      <c r="G48" s="58" t="s">
        <v>185</v>
      </c>
      <c r="H48" s="58" t="s">
        <v>25</v>
      </c>
      <c r="I48" s="57" t="s">
        <v>20</v>
      </c>
      <c r="J48" s="58" t="s">
        <v>27</v>
      </c>
      <c r="K48" s="58">
        <v>2</v>
      </c>
      <c r="L48" s="58">
        <v>5</v>
      </c>
      <c r="M48" s="58">
        <v>8</v>
      </c>
      <c r="N48" s="58"/>
      <c r="O48" s="58">
        <v>3</v>
      </c>
      <c r="P48" s="58"/>
      <c r="Q48" s="58" t="str">
        <f t="shared" si="9"/>
        <v>2020</v>
      </c>
      <c r="R48" s="58">
        <f t="shared" si="8"/>
        <v>350126.60000000003</v>
      </c>
      <c r="S48" s="58">
        <f t="shared" si="10"/>
        <v>33936</v>
      </c>
      <c r="T48" s="58"/>
      <c r="U48" s="58"/>
      <c r="V48" s="58">
        <f t="shared" si="11"/>
        <v>384062.60000000003</v>
      </c>
      <c r="W48" s="58">
        <v>25000</v>
      </c>
      <c r="X48" s="58">
        <v>403406.60000000003</v>
      </c>
      <c r="Y48" s="58">
        <v>20160</v>
      </c>
      <c r="Z48" s="60">
        <v>0</v>
      </c>
      <c r="AA48" s="58">
        <v>0</v>
      </c>
      <c r="AB48" s="58">
        <v>2700</v>
      </c>
      <c r="AC48" s="58">
        <v>12500</v>
      </c>
      <c r="AD48" s="58">
        <v>0</v>
      </c>
      <c r="AE48" s="58">
        <v>0</v>
      </c>
      <c r="AF48" s="58">
        <v>35360</v>
      </c>
      <c r="AG48" s="58">
        <v>368046.60000000003</v>
      </c>
      <c r="AH48" s="58">
        <v>0</v>
      </c>
      <c r="AI48" s="58">
        <v>368046.60000000003</v>
      </c>
    </row>
    <row r="49" spans="1:35" x14ac:dyDescent="0.2">
      <c r="A49" s="1">
        <v>48</v>
      </c>
      <c r="B49" s="58" t="s">
        <v>288</v>
      </c>
      <c r="C49" s="58" t="s">
        <v>289</v>
      </c>
      <c r="D49" s="58" t="s">
        <v>286</v>
      </c>
      <c r="E49" s="60" t="s">
        <v>290</v>
      </c>
      <c r="F49" s="58" t="str">
        <f t="shared" ca="1" si="3"/>
        <v>34 ans</v>
      </c>
      <c r="G49" s="58" t="s">
        <v>206</v>
      </c>
      <c r="H49" s="58" t="s">
        <v>26</v>
      </c>
      <c r="I49" s="57" t="s">
        <v>20</v>
      </c>
      <c r="J49" s="58" t="s">
        <v>27</v>
      </c>
      <c r="K49" s="58">
        <v>0</v>
      </c>
      <c r="L49" s="58">
        <v>2</v>
      </c>
      <c r="M49" s="58"/>
      <c r="N49" s="58"/>
      <c r="O49" s="58"/>
      <c r="P49" s="58"/>
      <c r="Q49" s="58" t="str">
        <f t="shared" si="9"/>
        <v>2020</v>
      </c>
      <c r="R49" s="58">
        <f t="shared" si="8"/>
        <v>350126.60000000003</v>
      </c>
      <c r="S49" s="58">
        <f t="shared" si="10"/>
        <v>0</v>
      </c>
      <c r="T49" s="58">
        <v>9500</v>
      </c>
      <c r="U49" s="58">
        <v>5000</v>
      </c>
      <c r="V49" s="58">
        <f t="shared" si="11"/>
        <v>364626.60000000003</v>
      </c>
      <c r="W49" s="58"/>
      <c r="X49" s="58">
        <v>364626.60000000003</v>
      </c>
      <c r="Y49" s="58">
        <v>20160</v>
      </c>
      <c r="Z49" s="60">
        <v>0</v>
      </c>
      <c r="AA49" s="58">
        <v>3000</v>
      </c>
      <c r="AB49" s="58">
        <v>900</v>
      </c>
      <c r="AC49" s="58">
        <v>37500</v>
      </c>
      <c r="AD49" s="58">
        <v>14500</v>
      </c>
      <c r="AE49" s="58">
        <v>0</v>
      </c>
      <c r="AF49" s="58">
        <v>76060</v>
      </c>
      <c r="AG49" s="58">
        <v>288566.60000000003</v>
      </c>
      <c r="AH49" s="58">
        <v>25000</v>
      </c>
      <c r="AI49" s="58">
        <v>313566.60000000003</v>
      </c>
    </row>
    <row r="50" spans="1:35" x14ac:dyDescent="0.2">
      <c r="A50" s="1">
        <v>49</v>
      </c>
      <c r="B50" s="58" t="s">
        <v>291</v>
      </c>
      <c r="C50" s="58" t="s">
        <v>292</v>
      </c>
      <c r="D50" s="58" t="s">
        <v>293</v>
      </c>
      <c r="E50" s="60" t="s">
        <v>294</v>
      </c>
      <c r="F50" s="58" t="str">
        <f t="shared" ca="1" si="3"/>
        <v>35 ans</v>
      </c>
      <c r="G50" s="58" t="s">
        <v>93</v>
      </c>
      <c r="H50" s="58" t="s">
        <v>25</v>
      </c>
      <c r="I50" s="57" t="s">
        <v>20</v>
      </c>
      <c r="J50" s="58" t="s">
        <v>27</v>
      </c>
      <c r="K50" s="58">
        <v>2</v>
      </c>
      <c r="L50" s="58">
        <v>5</v>
      </c>
      <c r="M50" s="58">
        <v>8</v>
      </c>
      <c r="N50" s="58"/>
      <c r="O50" s="58"/>
      <c r="P50" s="58"/>
      <c r="Q50" s="58" t="str">
        <f t="shared" si="9"/>
        <v>2020</v>
      </c>
      <c r="R50" s="58">
        <f t="shared" si="8"/>
        <v>350126.60000000003</v>
      </c>
      <c r="S50" s="58">
        <f t="shared" si="10"/>
        <v>24240</v>
      </c>
      <c r="T50" s="58"/>
      <c r="U50" s="58"/>
      <c r="V50" s="58">
        <f t="shared" si="11"/>
        <v>374366.60000000003</v>
      </c>
      <c r="W50" s="58"/>
      <c r="X50" s="58">
        <v>368710.60000000003</v>
      </c>
      <c r="Y50" s="58">
        <v>20160</v>
      </c>
      <c r="Z50" s="60">
        <v>0</v>
      </c>
      <c r="AA50" s="58">
        <v>0</v>
      </c>
      <c r="AB50" s="58">
        <v>2700</v>
      </c>
      <c r="AC50" s="58">
        <v>12500</v>
      </c>
      <c r="AD50" s="58">
        <v>0</v>
      </c>
      <c r="AE50" s="58">
        <v>0</v>
      </c>
      <c r="AF50" s="58">
        <v>35360</v>
      </c>
      <c r="AG50" s="58">
        <v>333350.60000000003</v>
      </c>
      <c r="AH50" s="58">
        <v>0</v>
      </c>
      <c r="AI50" s="58">
        <v>333350.60000000003</v>
      </c>
    </row>
    <row r="51" spans="1:35" x14ac:dyDescent="0.2">
      <c r="A51" s="1">
        <v>50</v>
      </c>
      <c r="B51" s="58" t="s">
        <v>295</v>
      </c>
      <c r="C51" s="58" t="s">
        <v>296</v>
      </c>
      <c r="D51" s="58" t="s">
        <v>297</v>
      </c>
      <c r="E51" s="60" t="s">
        <v>298</v>
      </c>
      <c r="F51" s="58" t="str">
        <f t="shared" ca="1" si="3"/>
        <v>38 ans</v>
      </c>
      <c r="G51" s="58" t="s">
        <v>182</v>
      </c>
      <c r="H51" s="58" t="s">
        <v>25</v>
      </c>
      <c r="I51" s="57" t="s">
        <v>20</v>
      </c>
      <c r="J51" s="58" t="s">
        <v>28</v>
      </c>
      <c r="K51" s="58">
        <v>0</v>
      </c>
      <c r="L51" s="58">
        <v>0</v>
      </c>
      <c r="M51" s="58">
        <v>8</v>
      </c>
      <c r="N51" s="58">
        <v>2</v>
      </c>
      <c r="O51" s="58">
        <v>3</v>
      </c>
      <c r="P51" s="58"/>
      <c r="Q51" s="58" t="str">
        <f t="shared" si="9"/>
        <v>2020</v>
      </c>
      <c r="R51" s="58">
        <f t="shared" si="8"/>
        <v>350126.60000000003</v>
      </c>
      <c r="S51" s="58">
        <f t="shared" si="10"/>
        <v>39592</v>
      </c>
      <c r="T51" s="58"/>
      <c r="U51" s="58">
        <v>7000</v>
      </c>
      <c r="V51" s="58">
        <f t="shared" si="11"/>
        <v>396718.60000000003</v>
      </c>
      <c r="W51" s="58"/>
      <c r="X51" s="58">
        <v>391062.60000000003</v>
      </c>
      <c r="Y51" s="58">
        <v>20160</v>
      </c>
      <c r="Z51" s="60">
        <v>0</v>
      </c>
      <c r="AA51" s="58">
        <v>3000</v>
      </c>
      <c r="AB51" s="58">
        <v>900</v>
      </c>
      <c r="AC51" s="58">
        <v>62500</v>
      </c>
      <c r="AD51" s="58">
        <v>13500</v>
      </c>
      <c r="AE51" s="58">
        <v>0</v>
      </c>
      <c r="AF51" s="58">
        <v>100060</v>
      </c>
      <c r="AG51" s="58">
        <v>291002.60000000003</v>
      </c>
      <c r="AH51" s="58">
        <v>0</v>
      </c>
      <c r="AI51" s="58">
        <v>291002.60000000003</v>
      </c>
    </row>
  </sheetData>
  <conditionalFormatting sqref="I2:I51">
    <cfRule type="containsText" dxfId="5" priority="1" operator="containsText" text="C">
      <formula>NOT(ISERROR(SEARCH("C",I2)))</formula>
    </cfRule>
    <cfRule type="containsText" dxfId="4" priority="2" operator="containsText" text="B">
      <formula>NOT(ISERROR(SEARCH("B",I2)))</formula>
    </cfRule>
    <cfRule type="containsText" dxfId="3" priority="3" operator="containsText" text="A">
      <formula>NOT(ISERROR(SEARCH("A",I2)))</formula>
    </cfRule>
  </conditionalFormatting>
  <conditionalFormatting sqref="I1:I51">
    <cfRule type="colorScale" priority="4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1"/>
  <dimension ref="A1:H59"/>
  <sheetViews>
    <sheetView topLeftCell="A11" workbookViewId="0">
      <selection activeCell="C18" sqref="C18"/>
    </sheetView>
  </sheetViews>
  <sheetFormatPr defaultColWidth="10.76171875" defaultRowHeight="15" x14ac:dyDescent="0.2"/>
  <cols>
    <col min="1" max="1" width="31.87890625" customWidth="1"/>
    <col min="2" max="2" width="27.7109375" customWidth="1"/>
    <col min="3" max="3" width="37.53125" customWidth="1"/>
    <col min="4" max="4" width="19.50390625" customWidth="1"/>
    <col min="5" max="5" width="29.19140625" customWidth="1"/>
    <col min="6" max="6" width="18.83203125" customWidth="1"/>
    <col min="7" max="7" width="17.484375" customWidth="1"/>
  </cols>
  <sheetData>
    <row r="1" spans="1:8" ht="21" x14ac:dyDescent="0.3">
      <c r="A1" s="6" t="s">
        <v>59</v>
      </c>
      <c r="B1" s="18">
        <f>'bulletin de paie'!D19</f>
        <v>559897.63000000012</v>
      </c>
    </row>
    <row r="2" spans="1:8" ht="21" x14ac:dyDescent="0.3">
      <c r="A2" s="6" t="s">
        <v>302</v>
      </c>
      <c r="B2" s="40" t="str">
        <f>IF('bulletin de paie'!B6="Marié","1,5","1")</f>
        <v>1,5</v>
      </c>
    </row>
    <row r="3" spans="1:8" ht="21" x14ac:dyDescent="0.3">
      <c r="A3" s="6" t="s">
        <v>301</v>
      </c>
      <c r="B3">
        <f>B2+(0.5*'bulletin de paie'!D6)</f>
        <v>3.5</v>
      </c>
    </row>
    <row r="5" spans="1:8" ht="21" x14ac:dyDescent="0.3">
      <c r="A5" s="6" t="s">
        <v>60</v>
      </c>
      <c r="B5" s="7">
        <f>ROUNDDOWN('bulletin de paie'!D19,-3)*12</f>
        <v>6708000</v>
      </c>
      <c r="D5" s="11">
        <v>0</v>
      </c>
    </row>
    <row r="6" spans="1:8" ht="21" x14ac:dyDescent="0.3">
      <c r="A6" s="6"/>
      <c r="D6" s="12">
        <v>630001</v>
      </c>
    </row>
    <row r="7" spans="1:8" ht="21" x14ac:dyDescent="0.3">
      <c r="A7" s="6" t="s">
        <v>61</v>
      </c>
      <c r="B7" s="10">
        <f>IF(B5&lt;3000000,B5*0.3,900000)</f>
        <v>900000</v>
      </c>
      <c r="D7" s="11">
        <v>1500001</v>
      </c>
      <c r="E7" s="12">
        <v>630000</v>
      </c>
      <c r="F7" s="11">
        <f t="shared" ref="F7:F12" si="0">E7-D5</f>
        <v>630000</v>
      </c>
      <c r="G7" s="13">
        <v>0</v>
      </c>
      <c r="H7" s="11">
        <f>F7*G7</f>
        <v>0</v>
      </c>
    </row>
    <row r="8" spans="1:8" x14ac:dyDescent="0.2">
      <c r="D8" s="11">
        <v>4000001</v>
      </c>
      <c r="E8" s="11">
        <f>IF('CALCUL  DE L''IR'!$B$9&lt;=D7,'CALCUL  DE L''IR'!$B$9,D7)</f>
        <v>1500001</v>
      </c>
      <c r="F8" s="11">
        <f t="shared" si="0"/>
        <v>870000</v>
      </c>
      <c r="G8" s="13">
        <v>0.2</v>
      </c>
      <c r="H8" s="11">
        <f>IF(F8&lt;0,0,F8*G8)</f>
        <v>174000</v>
      </c>
    </row>
    <row r="9" spans="1:8" ht="21" x14ac:dyDescent="0.3">
      <c r="A9" s="6" t="s">
        <v>62</v>
      </c>
      <c r="B9" s="41">
        <f>B5-B7</f>
        <v>5808000</v>
      </c>
      <c r="D9" s="11">
        <v>8000001</v>
      </c>
      <c r="E9" s="11">
        <f>IF('CALCUL  DE L''IR'!$B$9&lt;=D8,'CALCUL  DE L''IR'!$B$9,D8)</f>
        <v>4000001</v>
      </c>
      <c r="F9" s="11">
        <f t="shared" si="0"/>
        <v>2500000</v>
      </c>
      <c r="G9" s="13">
        <v>0.3</v>
      </c>
      <c r="H9" s="11">
        <f>IF(F9&lt;0,0,F9*G9)</f>
        <v>750000</v>
      </c>
    </row>
    <row r="10" spans="1:8" x14ac:dyDescent="0.2">
      <c r="D10" s="11">
        <v>13500001</v>
      </c>
      <c r="E10" s="11">
        <f>IF('CALCUL  DE L''IR'!$B$9&lt;=D9,'CALCUL  DE L''IR'!$B$9,D9)</f>
        <v>5808000</v>
      </c>
      <c r="F10" s="11">
        <f t="shared" si="0"/>
        <v>1807999</v>
      </c>
      <c r="G10" s="13">
        <v>0.35</v>
      </c>
      <c r="H10" s="11">
        <f>IF(F10&lt;0,0,F10*G10)</f>
        <v>632799.64999999991</v>
      </c>
    </row>
    <row r="11" spans="1:8" ht="21" x14ac:dyDescent="0.3">
      <c r="A11" s="6" t="s">
        <v>63</v>
      </c>
      <c r="B11" s="9">
        <f>'CALCUL  DE L''IR'!H13</f>
        <v>1556799.65</v>
      </c>
      <c r="E11" s="11">
        <f>IF('CALCUL  DE L''IR'!$B$9&lt;=D10,'CALCUL  DE L''IR'!$B$9,D10)</f>
        <v>5808000</v>
      </c>
      <c r="F11" s="11">
        <f t="shared" si="0"/>
        <v>-2192001</v>
      </c>
      <c r="G11" s="13">
        <v>0.37</v>
      </c>
      <c r="H11" s="11">
        <f>IF(F11&lt;0,0,F11*G11)</f>
        <v>0</v>
      </c>
    </row>
    <row r="12" spans="1:8" x14ac:dyDescent="0.2">
      <c r="E12" s="11">
        <f>IF('CALCUL  DE L''IR'!$B$9&gt;D11,'CALCUL  DE L''IR'!B9,D10)</f>
        <v>5808000</v>
      </c>
      <c r="F12" s="11">
        <f t="shared" si="0"/>
        <v>-7692001</v>
      </c>
      <c r="G12" s="13">
        <v>0.4</v>
      </c>
      <c r="H12" s="11">
        <f>IF(F12&lt;0,0,F12*G12)</f>
        <v>0</v>
      </c>
    </row>
    <row r="13" spans="1:8" ht="21" x14ac:dyDescent="0.3">
      <c r="A13" s="6" t="s">
        <v>64</v>
      </c>
      <c r="B13" s="8">
        <f>IF(B3=1,0%,IF(B3=1.5,10%,IF(B3=2,15%,IF(B3=2.5,20%,IF(B3=3,25%,IF(B3=3.5,30%,IF(B3=4,35%,IF(B3=4.5,40%,45%))))))))</f>
        <v>0.3</v>
      </c>
      <c r="D13" t="s">
        <v>303</v>
      </c>
      <c r="E13" t="str">
        <f>IF(AND('bulletin de paie'!D19&gt;=0,'bulletin de paie'!D19&lt;=599999),"900",IF(AND('bulletin de paie'!D19&gt;=600000,'bulletin de paie'!D19&lt;=999999),"3600",IF(AND('bulletin de paie'!D19&gt;=1000000,'bulletin de paie'!D19&lt;=1999999),"4800","12000")))</f>
        <v>900</v>
      </c>
      <c r="H13" s="11">
        <f>SUM(H7:H12)</f>
        <v>1556799.65</v>
      </c>
    </row>
    <row r="14" spans="1:8" x14ac:dyDescent="0.2">
      <c r="A14" t="s">
        <v>67</v>
      </c>
      <c r="B14">
        <f>B15/B3</f>
        <v>142857.14285714287</v>
      </c>
    </row>
    <row r="15" spans="1:8" ht="21" x14ac:dyDescent="0.3">
      <c r="A15" s="6" t="s">
        <v>65</v>
      </c>
      <c r="B15" s="3">
        <f>IF(B3=1,0,IF(B3=1.5,MEDIAN(100000,B11*B13,300000),IF(B3=2,MEDIAN(200000,B11*B13,650000),IF(B3=2.5,MEDIAN(300000,B11*B13,1100000),IF(B3=3,MEDIAN(400000,B11*B13,1650000),IF(B3=3.5,MEDIAN(500000,B11*B13,2030000),IF(B3=4,MEDIAN(600000,B11*B13,2490000),IF(B3=4.5,MEDIAN(700000,B11*B13,2755000),IF(B3=5,MEDIAN(800000,B11*B13,3180000))))))))))</f>
        <v>500000</v>
      </c>
    </row>
    <row r="16" spans="1:8" x14ac:dyDescent="0.2">
      <c r="B16">
        <f>MAX(B11-B15,0)</f>
        <v>1056799.6499999999</v>
      </c>
    </row>
    <row r="17" spans="1:4" ht="21" x14ac:dyDescent="0.3">
      <c r="A17" s="6" t="s">
        <v>66</v>
      </c>
      <c r="B17" s="3">
        <f>B16/12</f>
        <v>88066.637499999997</v>
      </c>
    </row>
    <row r="23" spans="1:4" x14ac:dyDescent="0.2">
      <c r="D23">
        <f>'CALCUL  DE L''IR'!E1</f>
        <v>0</v>
      </c>
    </row>
    <row r="43" spans="7:7" x14ac:dyDescent="0.2">
      <c r="G43" s="3"/>
    </row>
    <row r="44" spans="7:7" x14ac:dyDescent="0.2">
      <c r="G44" s="3"/>
    </row>
    <row r="45" spans="7:7" x14ac:dyDescent="0.2">
      <c r="G45" s="3"/>
    </row>
    <row r="46" spans="7:7" x14ac:dyDescent="0.2">
      <c r="G46" s="3"/>
    </row>
    <row r="47" spans="7:7" x14ac:dyDescent="0.2">
      <c r="G47" s="3"/>
    </row>
    <row r="48" spans="7:7" x14ac:dyDescent="0.2">
      <c r="G48" s="3"/>
    </row>
    <row r="49" spans="7:7" x14ac:dyDescent="0.2">
      <c r="G49" s="3"/>
    </row>
    <row r="50" spans="7:7" x14ac:dyDescent="0.2">
      <c r="G50" s="3"/>
    </row>
    <row r="51" spans="7:7" x14ac:dyDescent="0.2">
      <c r="G51" s="4"/>
    </row>
    <row r="52" spans="7:7" x14ac:dyDescent="0.2">
      <c r="G52" s="5"/>
    </row>
    <row r="53" spans="7:7" x14ac:dyDescent="0.2">
      <c r="G53" s="3"/>
    </row>
    <row r="54" spans="7:7" x14ac:dyDescent="0.2">
      <c r="G54" s="3"/>
    </row>
    <row r="55" spans="7:7" x14ac:dyDescent="0.2">
      <c r="G55" s="3"/>
    </row>
    <row r="56" spans="7:7" x14ac:dyDescent="0.2">
      <c r="G56" s="3"/>
    </row>
    <row r="57" spans="7:7" x14ac:dyDescent="0.2">
      <c r="G57" s="14"/>
    </row>
    <row r="58" spans="7:7" x14ac:dyDescent="0.2">
      <c r="G58" s="3"/>
    </row>
    <row r="59" spans="7:7" x14ac:dyDescent="0.2">
      <c r="G5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5"/>
  <dimension ref="A1:A51"/>
  <sheetViews>
    <sheetView workbookViewId="0">
      <selection activeCell="C10" sqref="C10"/>
    </sheetView>
  </sheetViews>
  <sheetFormatPr defaultColWidth="10.76171875" defaultRowHeight="15" x14ac:dyDescent="0.2"/>
  <cols>
    <col min="1" max="1" width="20.71484375" style="56" customWidth="1"/>
  </cols>
  <sheetData>
    <row r="1" spans="1:1" x14ac:dyDescent="0.2">
      <c r="A1" s="54" t="s">
        <v>4</v>
      </c>
    </row>
    <row r="2" spans="1:1" x14ac:dyDescent="0.2">
      <c r="A2" s="55" t="s">
        <v>20</v>
      </c>
    </row>
    <row r="3" spans="1:1" x14ac:dyDescent="0.2">
      <c r="A3" s="55" t="s">
        <v>20</v>
      </c>
    </row>
    <row r="4" spans="1:1" x14ac:dyDescent="0.2">
      <c r="A4" s="55" t="s">
        <v>20</v>
      </c>
    </row>
    <row r="5" spans="1:1" x14ac:dyDescent="0.2">
      <c r="A5" s="55" t="s">
        <v>21</v>
      </c>
    </row>
    <row r="6" spans="1:1" x14ac:dyDescent="0.2">
      <c r="A6" s="55" t="s">
        <v>21</v>
      </c>
    </row>
    <row r="7" spans="1:1" x14ac:dyDescent="0.2">
      <c r="A7" s="55" t="s">
        <v>21</v>
      </c>
    </row>
    <row r="8" spans="1:1" x14ac:dyDescent="0.2">
      <c r="A8" s="55" t="s">
        <v>19</v>
      </c>
    </row>
    <row r="9" spans="1:1" x14ac:dyDescent="0.2">
      <c r="A9" s="55" t="s">
        <v>19</v>
      </c>
    </row>
    <row r="10" spans="1:1" x14ac:dyDescent="0.2">
      <c r="A10" s="55" t="s">
        <v>19</v>
      </c>
    </row>
    <row r="11" spans="1:1" x14ac:dyDescent="0.2">
      <c r="A11" s="55" t="s">
        <v>19</v>
      </c>
    </row>
    <row r="12" spans="1:1" x14ac:dyDescent="0.2">
      <c r="A12" s="55" t="s">
        <v>20</v>
      </c>
    </row>
    <row r="13" spans="1:1" x14ac:dyDescent="0.2">
      <c r="A13" s="55" t="s">
        <v>20</v>
      </c>
    </row>
    <row r="14" spans="1:1" x14ac:dyDescent="0.2">
      <c r="A14" s="55" t="s">
        <v>20</v>
      </c>
    </row>
    <row r="15" spans="1:1" x14ac:dyDescent="0.2">
      <c r="A15" s="55" t="s">
        <v>21</v>
      </c>
    </row>
    <row r="16" spans="1:1" x14ac:dyDescent="0.2">
      <c r="A16" s="55" t="s">
        <v>21</v>
      </c>
    </row>
    <row r="17" spans="1:1" x14ac:dyDescent="0.2">
      <c r="A17" s="55" t="s">
        <v>21</v>
      </c>
    </row>
    <row r="18" spans="1:1" x14ac:dyDescent="0.2">
      <c r="A18" s="55" t="s">
        <v>21</v>
      </c>
    </row>
    <row r="19" spans="1:1" x14ac:dyDescent="0.2">
      <c r="A19" s="55" t="s">
        <v>19</v>
      </c>
    </row>
    <row r="20" spans="1:1" x14ac:dyDescent="0.2">
      <c r="A20" s="55" t="s">
        <v>21</v>
      </c>
    </row>
    <row r="21" spans="1:1" x14ac:dyDescent="0.2">
      <c r="A21" s="55" t="s">
        <v>20</v>
      </c>
    </row>
    <row r="22" spans="1:1" x14ac:dyDescent="0.2">
      <c r="A22" s="55" t="s">
        <v>20</v>
      </c>
    </row>
    <row r="23" spans="1:1" x14ac:dyDescent="0.2">
      <c r="A23" s="55" t="s">
        <v>20</v>
      </c>
    </row>
    <row r="24" spans="1:1" x14ac:dyDescent="0.2">
      <c r="A24" s="55" t="s">
        <v>21</v>
      </c>
    </row>
    <row r="25" spans="1:1" x14ac:dyDescent="0.2">
      <c r="A25" s="55" t="s">
        <v>21</v>
      </c>
    </row>
    <row r="26" spans="1:1" x14ac:dyDescent="0.2">
      <c r="A26" s="55" t="s">
        <v>21</v>
      </c>
    </row>
    <row r="27" spans="1:1" x14ac:dyDescent="0.2">
      <c r="A27" s="55" t="s">
        <v>21</v>
      </c>
    </row>
    <row r="28" spans="1:1" x14ac:dyDescent="0.2">
      <c r="A28" s="55" t="s">
        <v>19</v>
      </c>
    </row>
    <row r="29" spans="1:1" x14ac:dyDescent="0.2">
      <c r="A29" s="55" t="s">
        <v>20</v>
      </c>
    </row>
    <row r="30" spans="1:1" x14ac:dyDescent="0.2">
      <c r="A30" s="55" t="s">
        <v>19</v>
      </c>
    </row>
    <row r="31" spans="1:1" x14ac:dyDescent="0.2">
      <c r="A31" s="55" t="s">
        <v>19</v>
      </c>
    </row>
    <row r="32" spans="1:1" x14ac:dyDescent="0.2">
      <c r="A32" s="55" t="s">
        <v>19</v>
      </c>
    </row>
    <row r="33" spans="1:1" x14ac:dyDescent="0.2">
      <c r="A33" s="55" t="s">
        <v>20</v>
      </c>
    </row>
    <row r="34" spans="1:1" x14ac:dyDescent="0.2">
      <c r="A34" s="55" t="s">
        <v>20</v>
      </c>
    </row>
    <row r="35" spans="1:1" x14ac:dyDescent="0.2">
      <c r="A35" s="55" t="s">
        <v>20</v>
      </c>
    </row>
    <row r="36" spans="1:1" x14ac:dyDescent="0.2">
      <c r="A36" s="55" t="s">
        <v>20</v>
      </c>
    </row>
    <row r="37" spans="1:1" x14ac:dyDescent="0.2">
      <c r="A37" s="55" t="s">
        <v>20</v>
      </c>
    </row>
    <row r="38" spans="1:1" x14ac:dyDescent="0.2">
      <c r="A38" s="55" t="s">
        <v>21</v>
      </c>
    </row>
    <row r="39" spans="1:1" x14ac:dyDescent="0.2">
      <c r="A39" s="55" t="s">
        <v>19</v>
      </c>
    </row>
    <row r="40" spans="1:1" x14ac:dyDescent="0.2">
      <c r="A40" s="55" t="s">
        <v>21</v>
      </c>
    </row>
    <row r="41" spans="1:1" x14ac:dyDescent="0.2">
      <c r="A41" s="55" t="s">
        <v>21</v>
      </c>
    </row>
    <row r="42" spans="1:1" x14ac:dyDescent="0.2">
      <c r="A42" s="55" t="s">
        <v>19</v>
      </c>
    </row>
    <row r="43" spans="1:1" x14ac:dyDescent="0.2">
      <c r="A43" s="55" t="s">
        <v>21</v>
      </c>
    </row>
    <row r="44" spans="1:1" x14ac:dyDescent="0.2">
      <c r="A44" s="55" t="s">
        <v>21</v>
      </c>
    </row>
    <row r="45" spans="1:1" x14ac:dyDescent="0.2">
      <c r="A45" s="55" t="s">
        <v>20</v>
      </c>
    </row>
    <row r="46" spans="1:1" x14ac:dyDescent="0.2">
      <c r="A46" s="55" t="s">
        <v>20</v>
      </c>
    </row>
    <row r="47" spans="1:1" x14ac:dyDescent="0.2">
      <c r="A47" s="55" t="s">
        <v>20</v>
      </c>
    </row>
    <row r="48" spans="1:1" x14ac:dyDescent="0.2">
      <c r="A48" s="55" t="s">
        <v>20</v>
      </c>
    </row>
    <row r="49" spans="1:1" x14ac:dyDescent="0.2">
      <c r="A49" s="55" t="s">
        <v>20</v>
      </c>
    </row>
    <row r="50" spans="1:1" x14ac:dyDescent="0.2">
      <c r="A50" s="55" t="s">
        <v>20</v>
      </c>
    </row>
    <row r="51" spans="1:1" x14ac:dyDescent="0.2">
      <c r="A51" s="55" t="s">
        <v>20</v>
      </c>
    </row>
  </sheetData>
  <conditionalFormatting sqref="A2:A51">
    <cfRule type="containsText" dxfId="2" priority="1" operator="containsText" text="C">
      <formula>NOT(ISERROR(SEARCH("C",A2)))</formula>
    </cfRule>
    <cfRule type="containsText" dxfId="1" priority="2" operator="containsText" text="B">
      <formula>NOT(ISERROR(SEARCH("B",A2)))</formula>
    </cfRule>
    <cfRule type="containsText" dxfId="0" priority="3" operator="containsText" text="A">
      <formula>NOT(ISERROR(SEARCH("A",A2)))</formula>
    </cfRule>
  </conditionalFormatting>
  <conditionalFormatting sqref="A1:A1048576">
    <cfRule type="colorScale" priority="4">
      <colorScale>
        <cfvo type="formula" val="&quot;B&quot;"/>
        <cfvo type="formula" val="&quot;C&quot;"/>
        <cfvo type="formula" val="&quot;A&quot;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/>
  <dimension ref="A1:L56"/>
  <sheetViews>
    <sheetView topLeftCell="C1" workbookViewId="0">
      <selection activeCell="N10" sqref="N10"/>
    </sheetView>
  </sheetViews>
  <sheetFormatPr defaultColWidth="10.76171875" defaultRowHeight="15" x14ac:dyDescent="0.2"/>
  <cols>
    <col min="1" max="1" width="15.46875" customWidth="1"/>
    <col min="2" max="2" width="11.43359375" style="43"/>
    <col min="3" max="3" width="13.85546875" style="43" customWidth="1"/>
    <col min="4" max="4" width="12.5078125" style="43" customWidth="1"/>
    <col min="5" max="5" width="12.9140625" style="43" customWidth="1"/>
    <col min="6" max="6" width="13.5859375" style="43" customWidth="1"/>
    <col min="7" max="7" width="12.9140625" style="43" customWidth="1"/>
    <col min="8" max="8" width="12.64453125" style="43" customWidth="1"/>
    <col min="9" max="9" width="12.9140625" style="43" customWidth="1"/>
    <col min="10" max="10" width="16.8125" style="43" customWidth="1"/>
    <col min="11" max="11" width="11.43359375" style="43"/>
    <col min="12" max="12" width="13.85546875" style="43" customWidth="1"/>
  </cols>
  <sheetData>
    <row r="1" spans="1:12" x14ac:dyDescent="0.2">
      <c r="A1" s="52" t="s">
        <v>305</v>
      </c>
      <c r="B1" s="53" t="s">
        <v>31</v>
      </c>
      <c r="C1" s="53" t="s">
        <v>32</v>
      </c>
      <c r="D1" s="53" t="s">
        <v>33</v>
      </c>
      <c r="E1" s="53" t="s">
        <v>15</v>
      </c>
      <c r="F1" s="53" t="s">
        <v>34</v>
      </c>
      <c r="G1" s="53" t="s">
        <v>35</v>
      </c>
      <c r="H1" s="53" t="s">
        <v>306</v>
      </c>
      <c r="I1" s="53" t="s">
        <v>307</v>
      </c>
      <c r="J1" s="53" t="s">
        <v>56</v>
      </c>
      <c r="K1" s="53" t="s">
        <v>308</v>
      </c>
      <c r="L1" s="53" t="s">
        <v>309</v>
      </c>
    </row>
    <row r="2" spans="1:12" x14ac:dyDescent="0.2">
      <c r="A2" s="1" t="s">
        <v>71</v>
      </c>
      <c r="B2" s="42">
        <v>900000</v>
      </c>
      <c r="C2" s="42">
        <v>20160</v>
      </c>
      <c r="D2" s="42">
        <v>21600</v>
      </c>
      <c r="E2" s="42">
        <v>1800</v>
      </c>
      <c r="F2" s="42">
        <v>4800</v>
      </c>
      <c r="G2" s="42">
        <v>211255</v>
      </c>
      <c r="H2" s="42">
        <v>100000</v>
      </c>
      <c r="I2" s="42">
        <v>0</v>
      </c>
      <c r="J2" s="42">
        <v>359615</v>
      </c>
      <c r="K2" s="42">
        <v>16500</v>
      </c>
      <c r="L2" s="42">
        <v>556885</v>
      </c>
    </row>
    <row r="3" spans="1:12" x14ac:dyDescent="0.2">
      <c r="A3" s="1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1:12" x14ac:dyDescent="0.2">
      <c r="A4" s="1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</row>
    <row r="5" spans="1:12" x14ac:dyDescent="0.2">
      <c r="A5" s="1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</row>
    <row r="6" spans="1:12" x14ac:dyDescent="0.2">
      <c r="A6" s="1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</row>
    <row r="7" spans="1:12" x14ac:dyDescent="0.2">
      <c r="A7" s="1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</row>
    <row r="8" spans="1:12" x14ac:dyDescent="0.2">
      <c r="A8" s="1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</row>
    <row r="9" spans="1:12" x14ac:dyDescent="0.2">
      <c r="A9" s="1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</row>
    <row r="10" spans="1:12" x14ac:dyDescent="0.2">
      <c r="A10" s="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</row>
    <row r="11" spans="1:12" x14ac:dyDescent="0.2">
      <c r="A11" s="1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</row>
    <row r="12" spans="1:12" x14ac:dyDescent="0.2">
      <c r="A12" s="1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</row>
    <row r="13" spans="1:12" x14ac:dyDescent="0.2">
      <c r="A13" s="1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</row>
    <row r="14" spans="1:12" x14ac:dyDescent="0.2">
      <c r="A14" s="1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</row>
    <row r="15" spans="1:12" x14ac:dyDescent="0.2">
      <c r="A15" s="1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</row>
    <row r="16" spans="1:12" x14ac:dyDescent="0.2">
      <c r="A16" s="1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</row>
    <row r="17" spans="1:12" x14ac:dyDescent="0.2">
      <c r="A17" s="1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</row>
    <row r="18" spans="1:12" x14ac:dyDescent="0.2">
      <c r="A18" s="1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</row>
    <row r="19" spans="1:12" x14ac:dyDescent="0.2">
      <c r="A19" s="1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 x14ac:dyDescent="0.2">
      <c r="A20" s="1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  <row r="21" spans="1:12" x14ac:dyDescent="0.2">
      <c r="A21" s="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</row>
    <row r="22" spans="1:12" x14ac:dyDescent="0.2">
      <c r="A22" s="1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</row>
    <row r="23" spans="1:12" x14ac:dyDescent="0.2">
      <c r="A23" s="1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</row>
    <row r="24" spans="1:12" x14ac:dyDescent="0.2">
      <c r="A24" s="1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</row>
    <row r="25" spans="1:12" x14ac:dyDescent="0.2">
      <c r="A25" s="1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</row>
    <row r="26" spans="1:12" x14ac:dyDescent="0.2">
      <c r="A26" s="1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</row>
    <row r="27" spans="1:12" x14ac:dyDescent="0.2">
      <c r="A27" s="1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</row>
    <row r="28" spans="1:12" x14ac:dyDescent="0.2">
      <c r="A28" s="1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</row>
    <row r="29" spans="1:12" x14ac:dyDescent="0.2">
      <c r="A29" s="1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</row>
    <row r="30" spans="1:12" x14ac:dyDescent="0.2">
      <c r="A30" s="1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</row>
    <row r="31" spans="1:12" x14ac:dyDescent="0.2">
      <c r="A31" s="1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</row>
    <row r="32" spans="1:12" x14ac:dyDescent="0.2">
      <c r="A32" s="1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1:12" x14ac:dyDescent="0.2">
      <c r="A33" s="1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</row>
    <row r="34" spans="1:12" x14ac:dyDescent="0.2">
      <c r="A34" s="1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</row>
    <row r="35" spans="1:12" x14ac:dyDescent="0.2">
      <c r="A35" s="1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</row>
    <row r="36" spans="1:12" x14ac:dyDescent="0.2">
      <c r="A36" s="1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</row>
    <row r="37" spans="1:12" x14ac:dyDescent="0.2">
      <c r="A37" s="1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</row>
    <row r="38" spans="1:12" x14ac:dyDescent="0.2">
      <c r="A38" s="1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</row>
    <row r="39" spans="1:12" x14ac:dyDescent="0.2">
      <c r="A39" s="1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</row>
    <row r="40" spans="1:12" x14ac:dyDescent="0.2">
      <c r="A40" s="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</row>
    <row r="41" spans="1:12" x14ac:dyDescent="0.2">
      <c r="A41" s="1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</row>
    <row r="42" spans="1:12" x14ac:dyDescent="0.2">
      <c r="A42" s="1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</row>
    <row r="43" spans="1:12" x14ac:dyDescent="0.2">
      <c r="A43" s="1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</row>
    <row r="44" spans="1:12" x14ac:dyDescent="0.2">
      <c r="A44" s="1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</row>
    <row r="45" spans="1:12" x14ac:dyDescent="0.2">
      <c r="A45" s="1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</row>
    <row r="46" spans="1:12" x14ac:dyDescent="0.2">
      <c r="A46" s="1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</row>
    <row r="47" spans="1:12" x14ac:dyDescent="0.2">
      <c r="A47" s="1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</row>
    <row r="48" spans="1:12" x14ac:dyDescent="0.2">
      <c r="A48" s="1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</row>
    <row r="49" spans="1:12" x14ac:dyDescent="0.2">
      <c r="A49" s="1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</row>
    <row r="50" spans="1:12" x14ac:dyDescent="0.2">
      <c r="A50" s="1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</row>
    <row r="51" spans="1:12" x14ac:dyDescent="0.2">
      <c r="A51" s="1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</row>
    <row r="52" spans="1:12" x14ac:dyDescent="0.2">
      <c r="A52" s="1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</row>
    <row r="53" spans="1:12" x14ac:dyDescent="0.2">
      <c r="A53" s="1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</row>
    <row r="54" spans="1:12" x14ac:dyDescent="0.2">
      <c r="A54" s="1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</row>
    <row r="55" spans="1:12" x14ac:dyDescent="0.2">
      <c r="A55" s="1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</row>
    <row r="56" spans="1:12" x14ac:dyDescent="0.2">
      <c r="A56" s="52"/>
      <c r="B56" s="53">
        <f>SUM(B2:B55)</f>
        <v>900000</v>
      </c>
      <c r="C56" s="53">
        <f t="shared" ref="C56:L56" si="0">SUM(C2:C55)</f>
        <v>20160</v>
      </c>
      <c r="D56" s="53">
        <f t="shared" si="0"/>
        <v>21600</v>
      </c>
      <c r="E56" s="53">
        <f t="shared" si="0"/>
        <v>1800</v>
      </c>
      <c r="F56" s="53">
        <f t="shared" si="0"/>
        <v>4800</v>
      </c>
      <c r="G56" s="53">
        <f t="shared" si="0"/>
        <v>211255</v>
      </c>
      <c r="H56" s="53">
        <f t="shared" si="0"/>
        <v>100000</v>
      </c>
      <c r="I56" s="53">
        <f t="shared" si="0"/>
        <v>0</v>
      </c>
      <c r="J56" s="53">
        <f t="shared" si="0"/>
        <v>359615</v>
      </c>
      <c r="K56" s="53">
        <f t="shared" si="0"/>
        <v>16500</v>
      </c>
      <c r="L56" s="53">
        <f t="shared" si="0"/>
        <v>556885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E23"/>
  <sheetViews>
    <sheetView topLeftCell="A4" workbookViewId="0">
      <selection activeCell="G12" sqref="G12"/>
    </sheetView>
  </sheetViews>
  <sheetFormatPr defaultColWidth="10.76171875" defaultRowHeight="15" x14ac:dyDescent="0.2"/>
  <cols>
    <col min="3" max="3" width="43.31640625" customWidth="1"/>
    <col min="4" max="4" width="14.2578125" customWidth="1"/>
    <col min="5" max="5" width="19.37109375" customWidth="1"/>
  </cols>
  <sheetData>
    <row r="1" spans="1:5" s="3" customFormat="1" x14ac:dyDescent="0.2">
      <c r="A1" s="92" t="s">
        <v>300</v>
      </c>
      <c r="B1" s="93"/>
      <c r="C1" s="93"/>
      <c r="D1" s="93"/>
      <c r="E1" s="93"/>
    </row>
    <row r="2" spans="1:5" s="3" customFormat="1" x14ac:dyDescent="0.2">
      <c r="A2" s="94"/>
      <c r="B2" s="94"/>
      <c r="C2" s="94"/>
      <c r="D2" s="94"/>
      <c r="E2" s="94"/>
    </row>
    <row r="3" spans="1:5" ht="18.75" x14ac:dyDescent="0.25">
      <c r="A3" s="37" t="s">
        <v>73</v>
      </c>
      <c r="B3" s="37" t="s">
        <v>74</v>
      </c>
      <c r="C3" s="37" t="s">
        <v>75</v>
      </c>
      <c r="D3" s="37" t="s">
        <v>76</v>
      </c>
      <c r="E3" s="37" t="s">
        <v>77</v>
      </c>
    </row>
    <row r="4" spans="1:5" x14ac:dyDescent="0.2">
      <c r="A4" s="1">
        <v>421</v>
      </c>
      <c r="B4" s="1"/>
      <c r="C4" s="1" t="s">
        <v>78</v>
      </c>
      <c r="D4" s="1">
        <f>LIVRE_PAIE!H56</f>
        <v>100000</v>
      </c>
      <c r="E4" s="1"/>
    </row>
    <row r="5" spans="1:5" s="3" customFormat="1" x14ac:dyDescent="0.2">
      <c r="A5" s="1"/>
      <c r="B5" s="1">
        <v>521</v>
      </c>
      <c r="C5" s="16" t="s">
        <v>87</v>
      </c>
      <c r="D5" s="1"/>
      <c r="E5" s="1">
        <f>LIVRE_PAIE!H56</f>
        <v>100000</v>
      </c>
    </row>
    <row r="6" spans="1:5" s="3" customFormat="1" ht="18.75" x14ac:dyDescent="0.25">
      <c r="A6" s="88" t="s">
        <v>72</v>
      </c>
      <c r="B6" s="88"/>
      <c r="C6" s="88"/>
      <c r="D6" s="88"/>
      <c r="E6" s="88"/>
    </row>
    <row r="7" spans="1:5" x14ac:dyDescent="0.2">
      <c r="A7" s="1" t="s">
        <v>84</v>
      </c>
      <c r="B7" s="1"/>
      <c r="C7" s="1" t="s">
        <v>85</v>
      </c>
      <c r="D7" s="1">
        <f>LIVRE_PAIE!B56</f>
        <v>900000</v>
      </c>
      <c r="E7" s="1"/>
    </row>
    <row r="8" spans="1:5" x14ac:dyDescent="0.2">
      <c r="A8" s="1">
        <v>663</v>
      </c>
      <c r="B8" s="1"/>
      <c r="C8" s="1" t="s">
        <v>86</v>
      </c>
      <c r="D8" s="1">
        <f>LIVRE_PAIE!K56</f>
        <v>16500</v>
      </c>
      <c r="E8" s="1"/>
    </row>
    <row r="9" spans="1:5" x14ac:dyDescent="0.2">
      <c r="A9" s="1"/>
      <c r="B9" s="1">
        <v>422</v>
      </c>
      <c r="C9" s="16" t="s">
        <v>83</v>
      </c>
      <c r="D9" s="16"/>
      <c r="E9" s="1">
        <f>LIVRE_PAIE!B56+LIVRE_PAIE!K56</f>
        <v>916500</v>
      </c>
    </row>
    <row r="10" spans="1:5" x14ac:dyDescent="0.2">
      <c r="A10" s="89"/>
      <c r="B10" s="90"/>
      <c r="C10" s="90"/>
      <c r="D10" s="90"/>
      <c r="E10" s="91"/>
    </row>
    <row r="11" spans="1:5" x14ac:dyDescent="0.2">
      <c r="A11" s="1">
        <v>422</v>
      </c>
      <c r="B11" s="1"/>
      <c r="C11" s="1" t="s">
        <v>83</v>
      </c>
      <c r="D11" s="1">
        <f>LIVRE_PAIE!J56</f>
        <v>359615</v>
      </c>
      <c r="E11" s="1"/>
    </row>
    <row r="12" spans="1:5" x14ac:dyDescent="0.2">
      <c r="A12" s="1"/>
      <c r="B12" s="1">
        <v>421</v>
      </c>
      <c r="C12" s="16" t="s">
        <v>78</v>
      </c>
      <c r="D12" s="1"/>
      <c r="E12" s="1">
        <f>LIVRE_PAIE!H56</f>
        <v>100000</v>
      </c>
    </row>
    <row r="13" spans="1:5" s="3" customFormat="1" x14ac:dyDescent="0.2">
      <c r="A13" s="1"/>
      <c r="B13" s="1">
        <v>4313</v>
      </c>
      <c r="C13" s="16" t="s">
        <v>79</v>
      </c>
      <c r="D13" s="1"/>
      <c r="E13" s="1">
        <f>LIVRE_PAIE!C56</f>
        <v>20160</v>
      </c>
    </row>
    <row r="14" spans="1:5" x14ac:dyDescent="0.2">
      <c r="A14" s="1"/>
      <c r="B14" s="1">
        <v>4314</v>
      </c>
      <c r="C14" s="16" t="s">
        <v>80</v>
      </c>
      <c r="D14" s="1"/>
      <c r="E14" s="1">
        <f>LIVRE_PAIE!D56</f>
        <v>21600</v>
      </c>
    </row>
    <row r="15" spans="1:5" x14ac:dyDescent="0.2">
      <c r="A15" s="1"/>
      <c r="B15" s="1">
        <v>4331</v>
      </c>
      <c r="C15" s="16" t="s">
        <v>81</v>
      </c>
      <c r="D15" s="1"/>
      <c r="E15" s="1">
        <f>LIVRE_PAIE!E56</f>
        <v>1800</v>
      </c>
    </row>
    <row r="16" spans="1:5" x14ac:dyDescent="0.2">
      <c r="A16" s="1"/>
      <c r="B16" s="1">
        <v>447</v>
      </c>
      <c r="C16" s="16" t="s">
        <v>82</v>
      </c>
      <c r="D16" s="1"/>
      <c r="E16" s="1">
        <f>LIVRE_PAIE!F56+LIVRE_PAIE!G56</f>
        <v>216055</v>
      </c>
    </row>
    <row r="17" spans="1:5" x14ac:dyDescent="0.2">
      <c r="A17" s="1"/>
      <c r="B17" s="1">
        <v>423</v>
      </c>
      <c r="C17" s="16" t="s">
        <v>17</v>
      </c>
      <c r="D17" s="1"/>
      <c r="E17" s="1">
        <f>LIVRE_PAIE!I56</f>
        <v>0</v>
      </c>
    </row>
    <row r="18" spans="1:5" ht="18.75" x14ac:dyDescent="0.25">
      <c r="A18" s="88" t="s">
        <v>88</v>
      </c>
      <c r="B18" s="88"/>
      <c r="C18" s="88"/>
      <c r="D18" s="88"/>
      <c r="E18" s="88"/>
    </row>
    <row r="19" spans="1:5" x14ac:dyDescent="0.2">
      <c r="A19" s="1">
        <v>422</v>
      </c>
      <c r="B19" s="1"/>
      <c r="C19" s="1" t="s">
        <v>83</v>
      </c>
      <c r="D19" s="1">
        <f>LIVRE_PAIE!L56</f>
        <v>556885</v>
      </c>
      <c r="E19" s="1"/>
    </row>
    <row r="20" spans="1:5" x14ac:dyDescent="0.2">
      <c r="A20" s="1">
        <v>423</v>
      </c>
      <c r="B20" s="1"/>
      <c r="C20" s="17" t="s">
        <v>17</v>
      </c>
      <c r="D20" s="1">
        <f>LIVRE_PAIE!I56</f>
        <v>0</v>
      </c>
      <c r="E20" s="1"/>
    </row>
    <row r="21" spans="1:5" x14ac:dyDescent="0.2">
      <c r="A21" s="1"/>
      <c r="B21" s="1">
        <v>521</v>
      </c>
      <c r="C21" s="16" t="s">
        <v>87</v>
      </c>
      <c r="D21" s="1"/>
      <c r="E21" s="1">
        <f>LIVRE_PAIE!L56+LIVRE_PAIE!I56</f>
        <v>556885</v>
      </c>
    </row>
    <row r="22" spans="1:5" x14ac:dyDescent="0.2">
      <c r="A22" s="1"/>
      <c r="B22" s="1"/>
      <c r="C22" s="1"/>
      <c r="D22" s="1"/>
      <c r="E22" s="1"/>
    </row>
    <row r="23" spans="1:5" x14ac:dyDescent="0.2">
      <c r="A23" t="s">
        <v>89</v>
      </c>
      <c r="D23">
        <f>SUM(D4:D22)</f>
        <v>1933000</v>
      </c>
      <c r="E23">
        <f>SUM(E4:E22)</f>
        <v>1933000</v>
      </c>
    </row>
  </sheetData>
  <mergeCells count="4">
    <mergeCell ref="A6:E6"/>
    <mergeCell ref="A18:E18"/>
    <mergeCell ref="A10:E10"/>
    <mergeCell ref="A1:E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7"/>
  <dimension ref="A1:A2"/>
  <sheetViews>
    <sheetView workbookViewId="0">
      <selection activeCell="C25" sqref="C25:C27"/>
    </sheetView>
  </sheetViews>
  <sheetFormatPr defaultColWidth="10.76171875" defaultRowHeight="15" x14ac:dyDescent="0.2"/>
  <sheetData>
    <row r="1" spans="1:1" x14ac:dyDescent="0.2">
      <c r="A1" t="s">
        <v>43</v>
      </c>
    </row>
    <row r="2" spans="1:1" x14ac:dyDescent="0.2">
      <c r="A2" t="s">
        <v>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/>
  <dimension ref="A1:A2"/>
  <sheetViews>
    <sheetView workbookViewId="0">
      <selection activeCell="G26" sqref="G26"/>
    </sheetView>
  </sheetViews>
  <sheetFormatPr defaultColWidth="10.76171875" defaultRowHeight="15" x14ac:dyDescent="0.2"/>
  <sheetData>
    <row r="1" spans="1:1" x14ac:dyDescent="0.2">
      <c r="A1" t="s">
        <v>25</v>
      </c>
    </row>
    <row r="2" spans="1:1" x14ac:dyDescent="0.2">
      <c r="A2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4"/>
  <dimension ref="A1:A4"/>
  <sheetViews>
    <sheetView workbookViewId="0">
      <selection activeCell="D8" sqref="D8"/>
    </sheetView>
  </sheetViews>
  <sheetFormatPr defaultColWidth="10.76171875" defaultRowHeight="15" x14ac:dyDescent="0.2"/>
  <sheetData>
    <row r="1" spans="1:1" x14ac:dyDescent="0.2">
      <c r="A1" t="s">
        <v>27</v>
      </c>
    </row>
    <row r="2" spans="1:1" x14ac:dyDescent="0.2">
      <c r="A2" t="s">
        <v>28</v>
      </c>
    </row>
    <row r="3" spans="1:1" x14ac:dyDescent="0.2">
      <c r="A3" t="s">
        <v>29</v>
      </c>
    </row>
    <row r="4" spans="1:1" x14ac:dyDescent="0.2">
      <c r="A4" t="s">
        <v>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A3"/>
  <sheetViews>
    <sheetView workbookViewId="0">
      <selection activeCell="E10" sqref="E10"/>
    </sheetView>
  </sheetViews>
  <sheetFormatPr defaultColWidth="10.76171875" defaultRowHeight="15" x14ac:dyDescent="0.2"/>
  <sheetData>
    <row r="1" spans="1:1" x14ac:dyDescent="0.2">
      <c r="A1" t="s">
        <v>19</v>
      </c>
    </row>
    <row r="2" spans="1:1" x14ac:dyDescent="0.2">
      <c r="A2" t="s">
        <v>20</v>
      </c>
    </row>
    <row r="3" spans="1:1" x14ac:dyDescent="0.2">
      <c r="A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INTERFACE</vt:lpstr>
      <vt:lpstr>TABLEAU DE BORD</vt:lpstr>
      <vt:lpstr>EMPLOYES</vt:lpstr>
      <vt:lpstr>Feuil9</vt:lpstr>
      <vt:lpstr>bulletin de paie</vt:lpstr>
      <vt:lpstr>BASE_DONNEES</vt:lpstr>
      <vt:lpstr>CALCUL  DE L'IR</vt:lpstr>
      <vt:lpstr>CATEGORIES</vt:lpstr>
      <vt:lpstr>LIVRE_PAIE</vt:lpstr>
      <vt:lpstr>journal</vt:lpstr>
      <vt:lpstr>Regime</vt:lpstr>
      <vt:lpstr>Sexe</vt:lpstr>
      <vt:lpstr>Etat_Civil</vt:lpstr>
      <vt:lpstr>categorie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2020-05-30T22:03:01Z</cp:lastPrinted>
  <dcterms:created xsi:type="dcterms:W3CDTF">2020-05-16T17:16:16Z</dcterms:created>
  <dcterms:modified xsi:type="dcterms:W3CDTF">2020-07-09T14:04:15Z</dcterms:modified>
</cp:coreProperties>
</file>